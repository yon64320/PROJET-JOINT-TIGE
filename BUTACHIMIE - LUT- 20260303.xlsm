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s0008780.sharepoint.com/sites/Arret-EMIS/Documents partages/2026 - BUTACHIMIE GA2026 - C23249/07 - PREPARATION TRAVAUX/14 - MASTER TRAVAUX/"/>
    </mc:Choice>
  </mc:AlternateContent>
  <xr:revisionPtr revIDLastSave="3724" documentId="13_ncr:1_{A764A71D-04B4-40A6-9B82-BDFC52362E2B}" xr6:coauthVersionLast="47" xr6:coauthVersionMax="47" xr10:uidLastSave="{6923D98A-F880-4911-8C81-A43C6F59EF75}"/>
  <bookViews>
    <workbookView xWindow="-108" yWindow="-108" windowWidth="23256" windowHeight="12576" tabRatio="515" xr2:uid="{1C803697-3DAE-49F3-A9DC-B717F8412017}"/>
  </bookViews>
  <sheets>
    <sheet name="LUT" sheetId="1" r:id="rId1"/>
  </sheets>
  <externalReferences>
    <externalReference r:id="rId2"/>
  </externalReferences>
  <definedNames>
    <definedName name="_______PSV1">#REF!</definedName>
    <definedName name="_______PSV2">#REF!</definedName>
    <definedName name="_______VAT1">#REF!</definedName>
    <definedName name="_______VAT2">#REF!</definedName>
    <definedName name="______PSV1">#REF!</definedName>
    <definedName name="______PSV2">#REF!</definedName>
    <definedName name="______VAT1">#REF!</definedName>
    <definedName name="______VAT2">#REF!</definedName>
    <definedName name="_____PSV1">#REF!</definedName>
    <definedName name="_____PSV2">#REF!</definedName>
    <definedName name="_____VAT1">#REF!</definedName>
    <definedName name="_____VAT2">#REF!</definedName>
    <definedName name="____PSV1">#REF!</definedName>
    <definedName name="____PSV2">#REF!</definedName>
    <definedName name="____VAT1">#REF!</definedName>
    <definedName name="____VAT2">#REF!</definedName>
    <definedName name="___PSV1">#REF!</definedName>
    <definedName name="___PSV2">#REF!</definedName>
    <definedName name="___VAT1">#REF!</definedName>
    <definedName name="___VAT2">#REF!</definedName>
    <definedName name="__PSV1">#REF!</definedName>
    <definedName name="__PSV2">#REF!</definedName>
    <definedName name="__VAT1">#REF!</definedName>
    <definedName name="__VAT2">#REF!</definedName>
    <definedName name="_xlnm._FilterDatabase" localSheetId="0" hidden="1">LUT!$B$3:$AK$292</definedName>
    <definedName name="_PSV1">#REF!</definedName>
    <definedName name="_PSV2">#REF!</definedName>
    <definedName name="_VAT1">#REF!</definedName>
    <definedName name="_VAT2">#REF!</definedName>
    <definedName name="AJOUT">#REF!</definedName>
    <definedName name="ajout1">#REF!</definedName>
    <definedName name="Annexe_Instrumentation">#REF!</definedName>
    <definedName name="Appareil">#REF!</definedName>
    <definedName name="Appareils">#REF!</definedName>
    <definedName name="AR16_APP">#REF!</definedName>
    <definedName name="AR16_TB">#REF!</definedName>
    <definedName name="AR16_UNITE">#REF!</definedName>
    <definedName name="autos">#REF!</definedName>
    <definedName name="autres_moyens">#REF!</definedName>
    <definedName name="Base_données">#REF!</definedName>
    <definedName name="boite_ajout">#REF!</definedName>
    <definedName name="boite_listetyp">#REF!</definedName>
    <definedName name="brossage">#REF!</definedName>
    <definedName name="calo">#REF!</definedName>
    <definedName name="CAMIONS">#REF!</definedName>
    <definedName name="CATEGORIE">#REF!</definedName>
    <definedName name="CE">#REF!</definedName>
    <definedName name="CHOIX_ST">#REF!</definedName>
    <definedName name="circulation">#REF!</definedName>
    <definedName name="CODE_ABSENT">#REF!</definedName>
    <definedName name="CODE_ABSENT1">#REF!</definedName>
    <definedName name="coef_2p">#REF!</definedName>
    <definedName name="coef_3p">#REF!</definedName>
    <definedName name="coef_dimanche">#REF!</definedName>
    <definedName name="coef_eg">#REF!</definedName>
    <definedName name="coef_engins">#REF!</definedName>
    <definedName name="coef_samedi">#REF!</definedName>
    <definedName name="colonneA">#REF!</definedName>
    <definedName name="colonneB">#REF!</definedName>
    <definedName name="colonneP">#REF!</definedName>
    <definedName name="Criticité">#REF!</definedName>
    <definedName name="D">#REF!</definedName>
    <definedName name="D_ou_E">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écapage">#REF!</definedName>
    <definedName name="Demande">#REF!</definedName>
    <definedName name="demandes">#REF!</definedName>
    <definedName name="Demandeur">#REF!</definedName>
    <definedName name="dépose_boite">#REF!</definedName>
    <definedName name="dépose_équip">#REF!</definedName>
    <definedName name="dépose_garnissage">#REF!</definedName>
    <definedName name="dépose_internes">#REF!</definedName>
    <definedName name="dossier">#REF!</definedName>
    <definedName name="échaf">#REF!</definedName>
    <definedName name="élect">#REF!</definedName>
    <definedName name="ENTREPRISE">#REF!</definedName>
    <definedName name="equipt">#REF!</definedName>
    <definedName name="extra_tube">#REF!</definedName>
    <definedName name="face">#REF!</definedName>
    <definedName name="FAI">#REF!</definedName>
    <definedName name="FAI_récept">#REF!</definedName>
    <definedName name="ffff">#REF!</definedName>
    <definedName name="gc">#REF!</definedName>
    <definedName name="gravité">#REF!</definedName>
    <definedName name="hh">#REF!</definedName>
    <definedName name="Impres_titres_MI">#REF!</definedName>
    <definedName name="IMPUTATION">#REF!</definedName>
    <definedName name="insp">#REF!</definedName>
    <definedName name="instrum">#REF!</definedName>
    <definedName name="isolement">#REF!</definedName>
    <definedName name="JOINT">#REF!</definedName>
    <definedName name="joints">#REF!</definedName>
    <definedName name="KFo">#REF!</definedName>
    <definedName name="libelle">#REF!</definedName>
    <definedName name="libellés">#REF!</definedName>
    <definedName name="liste">#REF!</definedName>
    <definedName name="ListeZone">#REF!</definedName>
    <definedName name="localisation">#REF!</definedName>
    <definedName name="mat_jts2">#REF!</definedName>
    <definedName name="MCJN">#REF!</definedName>
    <definedName name="MODIF">#REF!</definedName>
    <definedName name="MODIF1">#REF!</definedName>
    <definedName name="MOJD">#REF!</definedName>
    <definedName name="MOJN">#REF!</definedName>
    <definedName name="N">#REF!</definedName>
    <definedName name="n.section">#REF!</definedName>
    <definedName name="NB">#REF!</definedName>
    <definedName name="Nb_d_actions">#REF!</definedName>
    <definedName name="NEJN">#REF!</definedName>
    <definedName name="nett_hp_capa">#REF!</definedName>
    <definedName name="nett_hp_faisc">#REF!</definedName>
    <definedName name="Niveau_de_sensibilité">#REF!</definedName>
    <definedName name="Nom">#REF!</definedName>
    <definedName name="Numero_Lot">#REF!</definedName>
    <definedName name="peinture">#REF!</definedName>
    <definedName name="pénétration">#REF!</definedName>
    <definedName name="pfe">#REF!</definedName>
    <definedName name="PI.B15018">#REF!</definedName>
    <definedName name="PI.B15019">#REF!</definedName>
    <definedName name="Plan_de_prévention">#REF!</definedName>
    <definedName name="planr">#REF!</definedName>
    <definedName name="platinage">#REF!</definedName>
    <definedName name="Pointage_Arrêt">#REF!</definedName>
    <definedName name="POSTE1">#REF!</definedName>
    <definedName name="POSTE2">#REF!</definedName>
    <definedName name="POSTE3">#REF!</definedName>
    <definedName name="pp">#REF!</definedName>
    <definedName name="Probabilité">#REF!</definedName>
    <definedName name="PRV">#REF!</definedName>
    <definedName name="Recorder">#REF!</definedName>
    <definedName name="répartition">#REF!</definedName>
    <definedName name="repnse_me">#REF!</definedName>
    <definedName name="reponse_ajout">#REF!</definedName>
    <definedName name="reponse_code">#REF!</definedName>
    <definedName name="reponse_mb">#REF!</definedName>
    <definedName name="reponse_me">#REF!</definedName>
    <definedName name="reponse_nom">#REF!</definedName>
    <definedName name="reponse_taux">#REF!</definedName>
    <definedName name="retubage">#REF!</definedName>
    <definedName name="révision">#REF!</definedName>
    <definedName name="Secteur">#REF!</definedName>
    <definedName name="Société_H0K0">#REF!</definedName>
    <definedName name="Soupapes">#REF!</definedName>
    <definedName name="soussecteur">#REF!</definedName>
    <definedName name="Statut">#REF!</definedName>
    <definedName name="statut_appareil">#REF!</definedName>
    <definedName name="statut_gamme">#REF!</definedName>
    <definedName name="suite1">#REF!</definedName>
    <definedName name="suite2">#REF!</definedName>
    <definedName name="table_O_N">#REF!</definedName>
    <definedName name="TABLE_OPERATION">#REF!</definedName>
    <definedName name="tableau_données">#REF!</definedName>
    <definedName name="TBHS">#REF!</definedName>
    <definedName name="TBTCTS">#REF!</definedName>
    <definedName name="tbtstc">#REF!</definedName>
    <definedName name="test">#REF!</definedName>
    <definedName name="test__f">#REF!</definedName>
    <definedName name="TEST0">#REF!</definedName>
    <definedName name="TESTKEYS">#REF!</definedName>
    <definedName name="TH">#REF!</definedName>
    <definedName name="Travaux">#REF!</definedName>
    <definedName name="trvx">#REF!</definedName>
    <definedName name="TRVX_TUY">#REF!</definedName>
    <definedName name="tuy_connexe">#REF!</definedName>
    <definedName name="tvx_méca">#REF!</definedName>
    <definedName name="tvx_métal">#REF!</definedName>
    <definedName name="Type_d_arrêt">#REF!</definedName>
    <definedName name="TYPE_de_TRAVAIL">#REF!</definedName>
    <definedName name="Type_travaux">#REF!</definedName>
    <definedName name="unit">#REF!</definedName>
    <definedName name="Unite">#REF!</definedName>
    <definedName name="usinage">#REF!</definedName>
    <definedName name="verification">#REF!</definedName>
    <definedName name="_xlnm.Print_Area" localSheetId="0">LUT!$D$3:$AH$271</definedName>
    <definedName name="zone_de_recherche">"=L11C17:L494C17"</definedName>
    <definedName name="ZONELG">#REF!</definedName>
    <definedName name="ZONEPSV">#REF!</definedName>
    <definedName name="ZONEPSVSERIE">#REF!</definedName>
    <definedName name="ZONEVA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8" i="1" l="1"/>
  <c r="I289" i="1"/>
  <c r="I290" i="1"/>
  <c r="I38" i="1"/>
  <c r="I40" i="1"/>
  <c r="I62" i="1"/>
  <c r="I217" i="1"/>
  <c r="I299" i="1"/>
  <c r="I282" i="1" l="1"/>
  <c r="I291" i="1"/>
  <c r="I292" i="1"/>
  <c r="I293" i="1"/>
  <c r="I298" i="1"/>
  <c r="I294" i="1"/>
  <c r="I295" i="1"/>
  <c r="I296" i="1"/>
  <c r="I297" i="1"/>
  <c r="I262" i="1"/>
  <c r="I280" i="1"/>
  <c r="I281" i="1"/>
  <c r="O281" i="1" s="1"/>
  <c r="I6" i="1"/>
  <c r="O280" i="1" l="1"/>
  <c r="K279" i="1"/>
  <c r="K25" i="1"/>
  <c r="K266" i="1"/>
  <c r="K267" i="1"/>
  <c r="K270" i="1"/>
  <c r="K93" i="1"/>
  <c r="K167" i="1"/>
  <c r="K168" i="1"/>
  <c r="K97" i="1"/>
  <c r="K169" i="1"/>
  <c r="K72" i="1"/>
  <c r="K80" i="1"/>
  <c r="K64" i="1"/>
  <c r="K68" i="1"/>
  <c r="K164" i="1"/>
  <c r="W2" i="1" l="1"/>
  <c r="V2" i="1" l="1"/>
  <c r="U2" i="1"/>
  <c r="K172" i="1"/>
  <c r="K5" i="1"/>
  <c r="K256" i="1"/>
  <c r="K81" i="1"/>
  <c r="K82" i="1"/>
  <c r="K84" i="1"/>
  <c r="K85" i="1"/>
  <c r="K86" i="1"/>
  <c r="K257" i="1"/>
  <c r="K258" i="1"/>
  <c r="K259" i="1"/>
  <c r="K260" i="1"/>
  <c r="K261" i="1"/>
  <c r="K108" i="1"/>
  <c r="K112" i="1"/>
  <c r="K113" i="1"/>
  <c r="K118" i="1"/>
  <c r="K88" i="1"/>
  <c r="K89" i="1"/>
  <c r="K90" i="1"/>
  <c r="K91" i="1"/>
  <c r="K92" i="1"/>
  <c r="K153" i="1"/>
  <c r="K137" i="1"/>
  <c r="K138" i="1"/>
  <c r="K139" i="1"/>
  <c r="K140" i="1"/>
  <c r="K143" i="1"/>
  <c r="K145" i="1"/>
  <c r="K150" i="1"/>
  <c r="K151" i="1"/>
  <c r="K175" i="1"/>
  <c r="K176" i="1"/>
  <c r="K177" i="1"/>
  <c r="K178" i="1"/>
  <c r="K179" i="1"/>
  <c r="K187" i="1"/>
  <c r="K7" i="1"/>
  <c r="K8" i="1"/>
  <c r="K9" i="1"/>
  <c r="K95" i="1"/>
  <c r="K10" i="1"/>
  <c r="K13" i="1"/>
  <c r="K15" i="1"/>
  <c r="K16" i="1"/>
  <c r="K17" i="1"/>
  <c r="K18" i="1"/>
  <c r="K19" i="1"/>
  <c r="K53" i="1"/>
  <c r="K24" i="1"/>
  <c r="K26" i="1"/>
  <c r="K27" i="1"/>
  <c r="K28" i="1"/>
  <c r="K196" i="1"/>
  <c r="K29" i="1"/>
  <c r="K60" i="1"/>
  <c r="K31" i="1"/>
  <c r="K198" i="1"/>
  <c r="K33" i="1"/>
  <c r="K36" i="1"/>
  <c r="K65" i="1"/>
  <c r="K66" i="1"/>
  <c r="K37" i="1"/>
  <c r="K39" i="1"/>
  <c r="K41" i="1"/>
  <c r="K42" i="1"/>
  <c r="K43" i="1"/>
  <c r="K44" i="1"/>
  <c r="K203" i="1"/>
  <c r="K204" i="1"/>
  <c r="K205" i="1"/>
  <c r="K206" i="1"/>
  <c r="K207" i="1"/>
  <c r="K208" i="1"/>
  <c r="K209" i="1"/>
  <c r="K210" i="1"/>
  <c r="K212" i="1"/>
  <c r="K213" i="1"/>
  <c r="K214" i="1"/>
  <c r="K215" i="1"/>
  <c r="K216" i="1"/>
  <c r="K218" i="1"/>
  <c r="K219" i="1"/>
  <c r="K220" i="1"/>
  <c r="K221" i="1"/>
  <c r="K223" i="1"/>
  <c r="K225" i="1"/>
  <c r="K226" i="1"/>
  <c r="K227" i="1"/>
  <c r="K228" i="1"/>
  <c r="K47" i="1"/>
  <c r="K229" i="1"/>
  <c r="K263" i="1"/>
  <c r="K264" i="1"/>
  <c r="K265" i="1"/>
  <c r="K100" i="1"/>
  <c r="K101" i="1"/>
  <c r="K102" i="1"/>
  <c r="K268" i="1"/>
  <c r="K104" i="1"/>
  <c r="K79" i="1"/>
  <c r="K271" i="1"/>
  <c r="K250" i="1"/>
  <c r="K253" i="1"/>
  <c r="K254" i="1"/>
  <c r="K272" i="1"/>
  <c r="K273" i="1"/>
  <c r="K274" i="1"/>
  <c r="K275" i="1"/>
  <c r="K276" i="1"/>
  <c r="K277" i="1"/>
  <c r="K278" i="1"/>
  <c r="K283" i="1"/>
  <c r="K284" i="1"/>
  <c r="K285" i="1"/>
  <c r="K286" i="1"/>
  <c r="K287" i="1"/>
  <c r="K122" i="1"/>
  <c r="K55" i="1"/>
  <c r="K255" i="1"/>
  <c r="K173" i="1"/>
  <c r="K174" i="1"/>
  <c r="K103" i="1"/>
  <c r="K105" i="1"/>
  <c r="K106" i="1"/>
  <c r="K107" i="1"/>
  <c r="K109" i="1"/>
  <c r="K110" i="1"/>
  <c r="K111" i="1"/>
  <c r="K114" i="1"/>
  <c r="K115" i="1"/>
  <c r="K116" i="1"/>
  <c r="K117" i="1"/>
  <c r="K119" i="1"/>
  <c r="K120" i="1"/>
  <c r="K125" i="1"/>
  <c r="K127" i="1"/>
  <c r="K128" i="1"/>
  <c r="K130" i="1"/>
  <c r="K133" i="1"/>
  <c r="K152" i="1"/>
  <c r="K134" i="1"/>
  <c r="K154" i="1"/>
  <c r="K155" i="1"/>
  <c r="K156" i="1"/>
  <c r="K135" i="1"/>
  <c r="K136" i="1"/>
  <c r="K148" i="1"/>
  <c r="K149" i="1"/>
  <c r="K180" i="1"/>
  <c r="K181" i="1"/>
  <c r="K182" i="1"/>
  <c r="K183" i="1"/>
  <c r="K184" i="1"/>
  <c r="K94" i="1"/>
  <c r="K185" i="1"/>
  <c r="K186" i="1"/>
  <c r="K188" i="1"/>
  <c r="K11" i="1"/>
  <c r="K12" i="1"/>
  <c r="K96" i="1"/>
  <c r="K14" i="1"/>
  <c r="K20" i="1"/>
  <c r="K21" i="1"/>
  <c r="K22" i="1"/>
  <c r="K23" i="1"/>
  <c r="K30" i="1"/>
  <c r="K197" i="1"/>
  <c r="K32" i="1"/>
  <c r="K34" i="1"/>
  <c r="K35" i="1"/>
  <c r="K45" i="1"/>
  <c r="K199" i="1"/>
  <c r="K201" i="1"/>
  <c r="K202" i="1"/>
  <c r="K222" i="1"/>
  <c r="K224" i="1"/>
  <c r="K46" i="1"/>
  <c r="K76" i="1"/>
  <c r="K98" i="1"/>
  <c r="K70" i="1"/>
  <c r="K77" i="1"/>
  <c r="K78" i="1"/>
  <c r="K230" i="1"/>
  <c r="K231" i="1"/>
  <c r="K232" i="1"/>
  <c r="K233" i="1"/>
  <c r="K234" i="1"/>
  <c r="K235" i="1"/>
  <c r="K236" i="1"/>
  <c r="K239" i="1"/>
  <c r="K240" i="1"/>
  <c r="K241" i="1"/>
  <c r="K242" i="1"/>
  <c r="K243" i="1"/>
  <c r="K244" i="1"/>
  <c r="K245" i="1"/>
  <c r="K246" i="1"/>
  <c r="K247" i="1"/>
  <c r="K248" i="1"/>
  <c r="K249" i="1"/>
  <c r="K99" i="1"/>
  <c r="K48" i="1"/>
  <c r="K269" i="1"/>
  <c r="K251" i="1"/>
  <c r="K252" i="1"/>
  <c r="K57" i="1"/>
  <c r="K200" i="1"/>
  <c r="K121" i="1"/>
  <c r="K124" i="1"/>
  <c r="K129" i="1"/>
  <c r="K131" i="1"/>
  <c r="K144" i="1"/>
  <c r="K49" i="1"/>
  <c r="K50" i="1"/>
  <c r="K59" i="1"/>
  <c r="K189" i="1"/>
  <c r="K190" i="1"/>
  <c r="K191" i="1"/>
  <c r="K192" i="1"/>
  <c r="K193" i="1"/>
  <c r="K194" i="1"/>
  <c r="K195" i="1"/>
  <c r="K52" i="1"/>
  <c r="K58" i="1"/>
  <c r="K61" i="1"/>
  <c r="K63" i="1"/>
  <c r="K171" i="1"/>
  <c r="K300" i="1"/>
  <c r="K301" i="1"/>
  <c r="K51" i="1"/>
  <c r="K56" i="1"/>
  <c r="K237" i="1"/>
  <c r="K238" i="1"/>
  <c r="K73" i="1"/>
  <c r="K211" i="1"/>
  <c r="K74" i="1"/>
  <c r="K75" i="1"/>
  <c r="K157" i="1"/>
  <c r="K158" i="1"/>
  <c r="K159" i="1"/>
  <c r="K160" i="1"/>
  <c r="K161" i="1"/>
  <c r="K83" i="1"/>
  <c r="K87" i="1"/>
  <c r="K67" i="1"/>
  <c r="K162" i="1"/>
  <c r="K69" i="1"/>
  <c r="K123" i="1"/>
  <c r="K126" i="1"/>
  <c r="K132" i="1"/>
  <c r="K141" i="1"/>
  <c r="K142" i="1"/>
  <c r="K146" i="1"/>
  <c r="K147" i="1"/>
  <c r="K163" i="1"/>
  <c r="K165" i="1"/>
  <c r="K170" i="1"/>
  <c r="K166" i="1"/>
  <c r="K71" i="1"/>
</calcChain>
</file>

<file path=xl/sharedStrings.xml><?xml version="1.0" encoding="utf-8"?>
<sst xmlns="http://schemas.openxmlformats.org/spreadsheetml/2006/main" count="4362" uniqueCount="1052">
  <si>
    <t>LUT</t>
  </si>
  <si>
    <t>HEURES REALISATION (Chiffrage)</t>
  </si>
  <si>
    <t>CONTRAINTE PLANNING</t>
  </si>
  <si>
    <t>TRAVAUX GAMMES</t>
  </si>
  <si>
    <t>DEBUT</t>
  </si>
  <si>
    <t>FIN</t>
  </si>
  <si>
    <t>ECHAF</t>
  </si>
  <si>
    <t>CALO</t>
  </si>
  <si>
    <t>MET</t>
  </si>
  <si>
    <t>NETT</t>
  </si>
  <si>
    <t>AUTRES TRAVAUX</t>
  </si>
  <si>
    <t>Type mode opératoire</t>
  </si>
  <si>
    <t>Commentaire</t>
  </si>
  <si>
    <t>CHRONO EMIS</t>
  </si>
  <si>
    <t>CHRONO BUTA</t>
  </si>
  <si>
    <t>UNITE</t>
  </si>
  <si>
    <t>ITEM</t>
  </si>
  <si>
    <t>OT</t>
  </si>
  <si>
    <t>LOT</t>
  </si>
  <si>
    <t>TITRE 
GAMME</t>
  </si>
  <si>
    <t>FAMILLE ITEM</t>
  </si>
  <si>
    <t>TYPE ITEM</t>
  </si>
  <si>
    <t>TYPE TRAVAUX</t>
  </si>
  <si>
    <t>REV</t>
  </si>
  <si>
    <t>TB/TC/TA</t>
  </si>
  <si>
    <t>FIESP</t>
  </si>
  <si>
    <t>COMMENTAIRES</t>
  </si>
  <si>
    <t>MONTAGE</t>
  </si>
  <si>
    <t>METAL</t>
  </si>
  <si>
    <t>NETTOYAGE
HP</t>
  </si>
  <si>
    <t>Butachimie</t>
  </si>
  <si>
    <t>Réservation</t>
  </si>
  <si>
    <t xml:space="preserve"> « Réservation de Ressources » pour la réalisation de divers travaux de maintenance et de projets de modification
voir chapitre correspondant du cahier des charges</t>
  </si>
  <si>
    <t>A</t>
  </si>
  <si>
    <t>TB</t>
  </si>
  <si>
    <t>X</t>
  </si>
  <si>
    <t>BUTADIENE</t>
  </si>
  <si>
    <t>B30235YLV</t>
  </si>
  <si>
    <t>S1-B30235YLV</t>
  </si>
  <si>
    <t>REVISION COMPLETE VANNE AUTO</t>
  </si>
  <si>
    <t xml:space="preserve">Robinetterie </t>
  </si>
  <si>
    <t>Vanne auto</t>
  </si>
  <si>
    <t>Générique</t>
  </si>
  <si>
    <t>Rob</t>
  </si>
  <si>
    <t>B4701</t>
  </si>
  <si>
    <t>S1-B4701</t>
  </si>
  <si>
    <t>REMPLACEMENT CARTOUCHES FILTRANTES + 6 VANNES SOMAS</t>
  </si>
  <si>
    <t>Equipement</t>
  </si>
  <si>
    <t xml:space="preserve">Filtre </t>
  </si>
  <si>
    <t>6 VM ech stdr</t>
  </si>
  <si>
    <t>B5103</t>
  </si>
  <si>
    <t>S1-B5103</t>
  </si>
  <si>
    <t>REMPLACEMENT POMPE + ROBINETS D'ENCADREMENT</t>
  </si>
  <si>
    <t>divers</t>
  </si>
  <si>
    <r>
      <t xml:space="preserve">8 VM + 2 pompes + prefab tuy </t>
    </r>
    <r>
      <rPr>
        <b/>
        <sz val="11"/>
        <color rgb="FFFF0000"/>
        <rFont val="Calibri"/>
        <family val="2"/>
        <scheme val="minor"/>
      </rPr>
      <t>annulé en rev C</t>
    </r>
  </si>
  <si>
    <t>B5401</t>
  </si>
  <si>
    <t>S1-B5401</t>
  </si>
  <si>
    <t>VIDANGE CAISSE A HUILE</t>
  </si>
  <si>
    <t>NC</t>
  </si>
  <si>
    <t>Aucun travaux</t>
  </si>
  <si>
    <t>B5402</t>
  </si>
  <si>
    <t>S1-B5402</t>
  </si>
  <si>
    <t>VIDANGE + REMPLISSAGE CAISSE A HUILE</t>
  </si>
  <si>
    <t>B6403</t>
  </si>
  <si>
    <t>S1-B6403</t>
  </si>
  <si>
    <t>VIDANGE FREON POUR MAD FAB</t>
  </si>
  <si>
    <t>B6404</t>
  </si>
  <si>
    <t>S1-B6404</t>
  </si>
  <si>
    <t>B6405</t>
  </si>
  <si>
    <t>S1-B6405</t>
  </si>
  <si>
    <t>BLP074</t>
  </si>
  <si>
    <t>S1-BLP074</t>
  </si>
  <si>
    <t>CVET 0422.00T</t>
  </si>
  <si>
    <t xml:space="preserve">Intervention </t>
  </si>
  <si>
    <t>Echaf/Calo</t>
  </si>
  <si>
    <t>Simplement échafaudage/calorifuge</t>
  </si>
  <si>
    <t>BLP076</t>
  </si>
  <si>
    <t>S1-BLP076</t>
  </si>
  <si>
    <t>CVET + ME 0461.00T</t>
  </si>
  <si>
    <t>BLP078</t>
  </si>
  <si>
    <t>S1-BLP078</t>
  </si>
  <si>
    <t>CVET 0460.00T</t>
  </si>
  <si>
    <t>BLP082</t>
  </si>
  <si>
    <t>S1-BLP082</t>
  </si>
  <si>
    <t>CVET + ME 0444.00T</t>
  </si>
  <si>
    <t>Dépose pose calo</t>
  </si>
  <si>
    <t>BLP084</t>
  </si>
  <si>
    <t>S1-BLP084</t>
  </si>
  <si>
    <t>CVET + ME  0445.00T</t>
  </si>
  <si>
    <t>OTG022</t>
  </si>
  <si>
    <t>S1-OTG022</t>
  </si>
  <si>
    <t>NETTOYAGE DES SOLS + SOLS DANS RETENTION BUTADIENE BUTA</t>
  </si>
  <si>
    <t>OTG</t>
  </si>
  <si>
    <t>OTG026</t>
  </si>
  <si>
    <t>S1-OTG026</t>
  </si>
  <si>
    <t>PREPARATION DE CHANTIER BUTADIENE BUTA</t>
  </si>
  <si>
    <t>Préparation</t>
  </si>
  <si>
    <t>OTG027</t>
  </si>
  <si>
    <t>S1-OTG027</t>
  </si>
  <si>
    <t>Préparation de chantier divers EGA/EGMA BUTADIENE</t>
  </si>
  <si>
    <t>OTG032</t>
  </si>
  <si>
    <t>S1-OTG032</t>
  </si>
  <si>
    <t>Prise de cote tuyauteur EGA BUTADIENE BUTA</t>
  </si>
  <si>
    <t>OTG036</t>
  </si>
  <si>
    <t>S1-OTG036</t>
  </si>
  <si>
    <t>Inspection BUTADIENE BUTA</t>
  </si>
  <si>
    <t>OTG039</t>
  </si>
  <si>
    <t>S1-OTG039</t>
  </si>
  <si>
    <t>TIR RADIO BUTADIENE BUTA</t>
  </si>
  <si>
    <t>TF99</t>
  </si>
  <si>
    <t>OTG042</t>
  </si>
  <si>
    <t>S1-OTG042</t>
  </si>
  <si>
    <t>Prestation ENDEGS
 pour camion torche TF-99</t>
  </si>
  <si>
    <t>OTG046</t>
  </si>
  <si>
    <t>S1-OTG046</t>
  </si>
  <si>
    <t>RESSERAGE FIN D'ARRET BUTADIENE BUTA</t>
  </si>
  <si>
    <t>OTG049</t>
  </si>
  <si>
    <t>S1-OTG049</t>
  </si>
  <si>
    <t>INSTALLATION COFFRET ELECTRIQUE BUTADIENE BUTA</t>
  </si>
  <si>
    <t>SYNTHESE</t>
  </si>
  <si>
    <t>OTG053</t>
  </si>
  <si>
    <t>S1-OTG053</t>
  </si>
  <si>
    <t xml:space="preserve">isolement qualité etape 1 </t>
  </si>
  <si>
    <t>OTG060</t>
  </si>
  <si>
    <t>S1-OTG060</t>
  </si>
  <si>
    <t>ECHAFAUDAGE TANK FARM</t>
  </si>
  <si>
    <t>OT générique</t>
  </si>
  <si>
    <t>OTG061</t>
  </si>
  <si>
    <t>S1-OTG061</t>
  </si>
  <si>
    <t>CALORIFUGE TF-99</t>
  </si>
  <si>
    <t>OTG062</t>
  </si>
  <si>
    <t>S1-OTG062</t>
  </si>
  <si>
    <t>Pose et dépose des échafaudages exterieur BUTADIENE BUTA</t>
  </si>
  <si>
    <t>OTG063</t>
  </si>
  <si>
    <t>S1-OTG063</t>
  </si>
  <si>
    <t>POSE / DEPOSE CALORIFUGE BUTADIENE BUTA</t>
  </si>
  <si>
    <t>OTG066</t>
  </si>
  <si>
    <t>S1-OTG066</t>
  </si>
  <si>
    <t>REPARATION TRACEUR VAPEUR</t>
  </si>
  <si>
    <t>OTG070</t>
  </si>
  <si>
    <t>S1-OTG070</t>
  </si>
  <si>
    <t>REPARATION TRACEUR VAPEUR BUTADIENE BUTA</t>
  </si>
  <si>
    <t>OTG182</t>
  </si>
  <si>
    <t>S1-OTG182</t>
  </si>
  <si>
    <t>PASSIVATION BOUCLE BD</t>
  </si>
  <si>
    <t>OTG190</t>
  </si>
  <si>
    <t>S1-OTG190</t>
  </si>
  <si>
    <t>CONSIGNATION + DEPOSE/REPOSE TUYAUTERIE DELUGE</t>
  </si>
  <si>
    <t>PSVBS0401</t>
  </si>
  <si>
    <t>S1-PSVBS0401</t>
  </si>
  <si>
    <t>PASSAGE AU BANC + EXAMEN PERIODIQUE PSV-BS-0401</t>
  </si>
  <si>
    <t xml:space="preserve">Soupape </t>
  </si>
  <si>
    <t>PSVBS0408</t>
  </si>
  <si>
    <t>S1-PSVBS0408</t>
  </si>
  <si>
    <t xml:space="preserve"> EXAMEN PERIODIQUE PSV-BS-0408 (SVPD)</t>
  </si>
  <si>
    <t>PSVBS0493</t>
  </si>
  <si>
    <t>S1-PSVBS0493</t>
  </si>
  <si>
    <t>PASSAGE AU BANC PSV-BS-0493 (SPB)</t>
  </si>
  <si>
    <t>PSVBS0563</t>
  </si>
  <si>
    <t>S1-PSVBS0563</t>
  </si>
  <si>
    <t xml:space="preserve"> EXAMEN PERIODIQUE PSV-BS-0563 (SVPD)</t>
  </si>
  <si>
    <t>PSVBS0590</t>
  </si>
  <si>
    <t>S1-PSVBS0590</t>
  </si>
  <si>
    <t>PASSAGE AU BANC PSV-BS-0590</t>
  </si>
  <si>
    <t>PSVBS594</t>
  </si>
  <si>
    <t xml:space="preserve">PASSAGE AU BANC </t>
  </si>
  <si>
    <t>S1075</t>
  </si>
  <si>
    <t>S1-S1075</t>
  </si>
  <si>
    <t>ISOLEMENT + NETTOYAGE HP + REMPLACEMENT DES LIGNES</t>
  </si>
  <si>
    <t xml:space="preserve">Ballon </t>
  </si>
  <si>
    <t>S1075-1
S1075-2
S1075-3
S1075-4</t>
  </si>
  <si>
    <t xml:space="preserve">A voir </t>
  </si>
  <si>
    <t>Travaux dans fosse</t>
  </si>
  <si>
    <t>S1079</t>
  </si>
  <si>
    <t>S1-S1079</t>
  </si>
  <si>
    <t>ISOLEMENT - NETTOYAGE HP - CONTRÔLE FISSURES - PSV-BS-0463 SPB - MISE EN PLACE BATARDEAU</t>
  </si>
  <si>
    <t>Ballon</t>
  </si>
  <si>
    <t>nettoyage fosse + 1 Soupape</t>
  </si>
  <si>
    <t>S1101</t>
  </si>
  <si>
    <t>S1-S1101</t>
  </si>
  <si>
    <t>ISOLEMENT + NETTOYAGE HP + REMPLACEMENT GARNISSAGE + REVISION POMPE S5114</t>
  </si>
  <si>
    <t xml:space="preserve">Colonne </t>
  </si>
  <si>
    <t>pas de rob</t>
  </si>
  <si>
    <t>Spécifique</t>
  </si>
  <si>
    <t>Travaux de dépose d'interne</t>
  </si>
  <si>
    <t>S1101-1</t>
  </si>
  <si>
    <t>S1-S1101-1</t>
  </si>
  <si>
    <t>S1121</t>
  </si>
  <si>
    <t>S1-S1121</t>
  </si>
  <si>
    <t xml:space="preserve">ISOLEMENT + NETTOYAGE HP + REMPLACEMENT GARNISSAGE </t>
  </si>
  <si>
    <t>S1191</t>
  </si>
  <si>
    <t>S1-S1191</t>
  </si>
  <si>
    <t>PLATINAGE + DEPOSE COLLIER CS03 + REMPLACEMENT BRIDE + MANCHETTE</t>
  </si>
  <si>
    <t>S1191-1
S1191-2</t>
  </si>
  <si>
    <t>S1775</t>
  </si>
  <si>
    <t>S1-S1775</t>
  </si>
  <si>
    <t>ISOLEMENT + NETTOYAGE HP + REMPLACEMENT MATELAS KNIT</t>
  </si>
  <si>
    <t>S2000</t>
  </si>
  <si>
    <t>S1-S2000</t>
  </si>
  <si>
    <t>NETTOYAGE HP + REVISION PSV-BS-0569 + REQUALIFICATION TUYAUTERIE 1109.00TR + REMPLACEMENT ACTIONNEUR</t>
  </si>
  <si>
    <t xml:space="preserve">Réacteur </t>
  </si>
  <si>
    <t>S2001</t>
  </si>
  <si>
    <t>S1-S2001</t>
  </si>
  <si>
    <t>NETTOYAGE HP + SPB PSV BS 0403 + REQUALIFICATION TUYAUTERIE 1781.00TR ET 0593.00TR + REMPLACEMENT BOULONNERIE COMPLÈTE</t>
  </si>
  <si>
    <t>S2002</t>
  </si>
  <si>
    <t>S1-S2002</t>
  </si>
  <si>
    <t>NETTOYAGE HP + SPB PSV-BS-0405 + REQUALIFICATION TUYAUTERIE 0594.00TR + REMPLACEMENT BOULONNERIE COMPLÈTE</t>
  </si>
  <si>
    <t>S2003</t>
  </si>
  <si>
    <t>S1-S2003</t>
  </si>
  <si>
    <t xml:space="preserve">NETTOYAGE HP + SVPD PSV-BS-406 + CONTROLE VISUEL INTERNE +
 M.E DES LIGNES 200 MR1 S200301 + 200 MR1 S200302 </t>
  </si>
  <si>
    <t>S2351</t>
  </si>
  <si>
    <t>S1-S2351</t>
  </si>
  <si>
    <t>ISOLEMENT + NETTOYAGE HP + REMPLACEMENT GARNISSAGE + REVISION S5157</t>
  </si>
  <si>
    <t>C</t>
  </si>
  <si>
    <t>Annulé</t>
  </si>
  <si>
    <t>S2601</t>
  </si>
  <si>
    <t>S1-S2601</t>
  </si>
  <si>
    <t>NETTOYAGE HP - REQUALIFICATION PERIODIQUE - DEPOSE BOITE SUP. ET OUVERTURE COUVERCLE INF.</t>
  </si>
  <si>
    <t xml:space="preserve">echangeur </t>
  </si>
  <si>
    <t>S2601-1
S2601-2</t>
  </si>
  <si>
    <t>S2611</t>
  </si>
  <si>
    <t>S1-S2611</t>
  </si>
  <si>
    <t>Echangeur</t>
  </si>
  <si>
    <t>S2706</t>
  </si>
  <si>
    <t>S1-S2706</t>
  </si>
  <si>
    <t>S2706 : NETTOYAGE CHIMIQUE + NETTOYAGE HP + REVISION POMPE + REQUALIFICATION PERIODIQUE TUYAUTERIE 1780.00TR</t>
  </si>
  <si>
    <t xml:space="preserve">Echangeur </t>
  </si>
  <si>
    <t>S2708</t>
  </si>
  <si>
    <t>S1-S2708</t>
  </si>
  <si>
    <t>S2708 : NETTOYAGE CHIMIQUE + NETTOYAGE HP + REVISION POMPE + REQUALIFICATION PERIODIQUE TUYAUTERIE 0592.00TR ET 1778.00TR</t>
  </si>
  <si>
    <t>S27080</t>
  </si>
  <si>
    <t>S1-S27080</t>
  </si>
  <si>
    <t>REVISION VANNE AUTO</t>
  </si>
  <si>
    <t>S2709</t>
  </si>
  <si>
    <t>S1-S2709</t>
  </si>
  <si>
    <t>S2709 : NETTOYAGE CHIMIQUE + NETTOYAGE HP + REMPLACEMENT MOBILE S5102 + PSV-BS-0570 SVPD + CONTRÔLE CLAPET  N° 410104 + RPT</t>
  </si>
  <si>
    <t>S2712</t>
  </si>
  <si>
    <t>S1-S2712</t>
  </si>
  <si>
    <t>PLATINAGE + DEPOSE DES BOITES + NETTOYAGE COTE FAISCEAU + PASSAGE AU BANC PSV-BS-0487</t>
  </si>
  <si>
    <t>S2727</t>
  </si>
  <si>
    <t>S1-S2727</t>
  </si>
  <si>
    <t>PLATINAGE + DEPOSE ECHANGEUR + NETTOYAGE CHIMIQUE + ENDOSCOPIE</t>
  </si>
  <si>
    <t>S2731BPV</t>
  </si>
  <si>
    <t>S1-S2731BPV</t>
  </si>
  <si>
    <t>REMPLACEMENT VANNE AUTO</t>
  </si>
  <si>
    <t>S2751</t>
  </si>
  <si>
    <t>S1-S2751</t>
  </si>
  <si>
    <t>PLATINAGE + NETTOYAGE CHIMIQUE ET HP + ENDOSCOPIE</t>
  </si>
  <si>
    <t>S3001</t>
  </si>
  <si>
    <t>S1-S3001</t>
  </si>
  <si>
    <t>PLATINAGE CALANDRE + NETTOYAGE CHIMIQUE + DEPOSE BOITES + NETOYAGE HP + MESURE EPAISSEUR</t>
  </si>
  <si>
    <t>S3001-1
S3001-2</t>
  </si>
  <si>
    <t>S3002</t>
  </si>
  <si>
    <t>S1-S3002</t>
  </si>
  <si>
    <t xml:space="preserve">DEPOSE BOITES + NETTOYAGE HP </t>
  </si>
  <si>
    <t>S3002-1
S3002-2
S3002-3
S3002-4</t>
  </si>
  <si>
    <t>S3003</t>
  </si>
  <si>
    <t>S1-S3003</t>
  </si>
  <si>
    <t>DEPOSE BOITES + NETTOYAGE HP</t>
  </si>
  <si>
    <t>S3003-1
S3003-2
S3003-3
S3003-4</t>
  </si>
  <si>
    <t>S3005</t>
  </si>
  <si>
    <t>S1-S3005</t>
  </si>
  <si>
    <t>NETTOYAGE HP + USINAGE BRIDES BOITES + POSE ANODES SACRIFICIELLES BOITES + PASSAGE AU BANC PSV-BS-0413</t>
  </si>
  <si>
    <t>S3005-1
S3005-2</t>
  </si>
  <si>
    <t>S3007</t>
  </si>
  <si>
    <t>S1-S3007</t>
  </si>
  <si>
    <t>NETTOYAGE HP + USINAGE BRIDES BOITES + POSE ANODES SACRIFICIELLES BOITES + PASSAGE AU BANC PSV-BS-0424</t>
  </si>
  <si>
    <t>S3007-1
S3007-2</t>
  </si>
  <si>
    <t>S3021</t>
  </si>
  <si>
    <t>S1-S3021</t>
  </si>
  <si>
    <t>DEPOSE BOITES + NETTOYAGE HP + USINAGE BRIDES BOITES + POSE ANODES SACRIFICIELLES BOITES</t>
  </si>
  <si>
    <t>S3021-1
S3021-2
S3021-3</t>
  </si>
  <si>
    <t>S3022</t>
  </si>
  <si>
    <t>S1-S3022</t>
  </si>
  <si>
    <t>PLATINAGE + DEPOSE BOITES + NETTOYAGE HP + INSPECTION PERIODIQUE + PASSAGE AU BANC PSV-BS-0578</t>
  </si>
  <si>
    <t>S3051</t>
  </si>
  <si>
    <t>NETTOYAGE HP FAISCEAU BOITES &amp; PLAQUES + MISE EN PLACE ANODES ZINC DANS BOITE</t>
  </si>
  <si>
    <t>S3051-1
S3051-2
S3051-3</t>
  </si>
  <si>
    <t>S3052</t>
  </si>
  <si>
    <t>S3052-1
S3052-2
S3052-3</t>
  </si>
  <si>
    <t>S43110</t>
  </si>
  <si>
    <t>S1-S43110</t>
  </si>
  <si>
    <t>SAS HCN REMPLACEMENT VANNE AUTO</t>
  </si>
  <si>
    <t xml:space="preserve">Spécifique </t>
  </si>
  <si>
    <t>SAS</t>
  </si>
  <si>
    <t>S43120</t>
  </si>
  <si>
    <t>S1-S43120</t>
  </si>
  <si>
    <t>S43130</t>
  </si>
  <si>
    <t>S1-S43130</t>
  </si>
  <si>
    <t>S43400</t>
  </si>
  <si>
    <t>S1-S43400</t>
  </si>
  <si>
    <t>S44110</t>
  </si>
  <si>
    <t>S1-S44110</t>
  </si>
  <si>
    <t xml:space="preserve">SAS HCN REMPLACEMENT VANNE AUTO </t>
  </si>
  <si>
    <t>S45110</t>
  </si>
  <si>
    <t>S1-S45110</t>
  </si>
  <si>
    <t>S46110</t>
  </si>
  <si>
    <t>S1-S46110</t>
  </si>
  <si>
    <t>S47000</t>
  </si>
  <si>
    <t>S1-S47000</t>
  </si>
  <si>
    <t xml:space="preserve">REVISION VANNE </t>
  </si>
  <si>
    <t>S47040</t>
  </si>
  <si>
    <t>S1-S47040</t>
  </si>
  <si>
    <t>REMPLACEMENT VANNE AUTO NEUF</t>
  </si>
  <si>
    <t>S47050</t>
  </si>
  <si>
    <t>S1-S47050</t>
  </si>
  <si>
    <t>S47090</t>
  </si>
  <si>
    <t>S1-S47090</t>
  </si>
  <si>
    <t>S47250</t>
  </si>
  <si>
    <t>S1-S47250</t>
  </si>
  <si>
    <t>REMPLACEMENT VANNE AUTO NEUVE</t>
  </si>
  <si>
    <t>S47260</t>
  </si>
  <si>
    <t>S1-S47260</t>
  </si>
  <si>
    <t>S48090A</t>
  </si>
  <si>
    <t>S1-S48090A</t>
  </si>
  <si>
    <t>S4810HSV</t>
  </si>
  <si>
    <t>S1-S4810HSV</t>
  </si>
  <si>
    <t>S4811HSV</t>
  </si>
  <si>
    <t>S1-S4811HSV</t>
  </si>
  <si>
    <t>S4812HSV</t>
  </si>
  <si>
    <t>S1-S4812HSV</t>
  </si>
  <si>
    <t>S48170SFV</t>
  </si>
  <si>
    <t>S1-S48170SFV</t>
  </si>
  <si>
    <t>S48201LV</t>
  </si>
  <si>
    <t>S1-S48201LV</t>
  </si>
  <si>
    <t>S48211LV</t>
  </si>
  <si>
    <t>S1-S48211LV</t>
  </si>
  <si>
    <t>S50190FV</t>
  </si>
  <si>
    <t>S5101</t>
  </si>
  <si>
    <t>S1-S5101</t>
  </si>
  <si>
    <t>REMPLACEMENT FILTRE + VIDANGE + CONTRÔLE CLAPET + REMPLACEMENT 2 VANNES SOMAS</t>
  </si>
  <si>
    <t>B</t>
  </si>
  <si>
    <t>Remplacement 2 Vannes manuelles + Depose/Repose 2 clapets</t>
  </si>
  <si>
    <t>S5110</t>
  </si>
  <si>
    <t>S1-S5110</t>
  </si>
  <si>
    <t xml:space="preserve"> 
DEPOSE MOBILE + NETTOYAGE + REVISION MOBILE + LIGNAGE</t>
  </si>
  <si>
    <t>Filtre</t>
  </si>
  <si>
    <t>S5201</t>
  </si>
  <si>
    <t>S1-S5201</t>
  </si>
  <si>
    <t>Remplacement 2 Vannes manuelles + Depose/Repose 1 clapet</t>
  </si>
  <si>
    <t>SLP080</t>
  </si>
  <si>
    <t>S1-SLP080</t>
  </si>
  <si>
    <t>INSPECTION TUYAUTERIE + RESSUAGE 0471.00T</t>
  </si>
  <si>
    <t>Autre</t>
  </si>
  <si>
    <t xml:space="preserve">Inspection </t>
  </si>
  <si>
    <t>Ressuage</t>
  </si>
  <si>
    <t>SLP091</t>
  </si>
  <si>
    <t>S1-SLP091</t>
  </si>
  <si>
    <t>ME 2757.00SE</t>
  </si>
  <si>
    <t>Pose depose echaf/calo</t>
  </si>
  <si>
    <t>SLP092</t>
  </si>
  <si>
    <t>S1-SLP092</t>
  </si>
  <si>
    <t>DEPOSE MANCHETTE POUR INSPECTION + RESSUAGE 0470.00T</t>
  </si>
  <si>
    <t>Pose depose manchette + echaf/calo</t>
  </si>
  <si>
    <t>SLP094</t>
  </si>
  <si>
    <t>S1-SLP094</t>
  </si>
  <si>
    <t>CVET 0473.00T</t>
  </si>
  <si>
    <t>SLP095</t>
  </si>
  <si>
    <t>S1-SLP095</t>
  </si>
  <si>
    <t>CVET 0472.00T</t>
  </si>
  <si>
    <t>SLP100</t>
  </si>
  <si>
    <t>S1-SLP100</t>
  </si>
  <si>
    <t>INSPECTION CONTRÔLE VISUEL EXTERNE TUYAUTERIE + MESURE D'EPAISSEUR 0871.00T</t>
  </si>
  <si>
    <t>SLP129</t>
  </si>
  <si>
    <t>S1-SLP129</t>
  </si>
  <si>
    <t>ME 2729.00ST</t>
  </si>
  <si>
    <t>SLP152</t>
  </si>
  <si>
    <t>S1-SLP152</t>
  </si>
  <si>
    <t>PT 0467.00T</t>
  </si>
  <si>
    <t>SLP153</t>
  </si>
  <si>
    <t>S1-SLP153</t>
  </si>
  <si>
    <t>CVET 0926.00ST</t>
  </si>
  <si>
    <t>Pose depose echaf + ouverture fermeture trappe</t>
  </si>
  <si>
    <t>SLU170</t>
  </si>
  <si>
    <t>S1-SLU170</t>
  </si>
  <si>
    <t>REQUALIFICATION PERIODIQUE TUYAUTERIE / 602.14T</t>
  </si>
  <si>
    <t>Pose depose echaf calo + depose repose manchette pour inspection périodique tuyauterie</t>
  </si>
  <si>
    <t>SRP001</t>
  </si>
  <si>
    <t>S1-SRP001</t>
  </si>
  <si>
    <t xml:space="preserve">REMPLACEMENT VANNE MANU. C, E, H, J, P  SAS HCN NORD </t>
  </si>
  <si>
    <t>VM</t>
  </si>
  <si>
    <t xml:space="preserve">SAS HCN </t>
  </si>
  <si>
    <t>SRP012</t>
  </si>
  <si>
    <t>S1-SRP012</t>
  </si>
  <si>
    <t>CONTRÔLE CLAPET ANTI-RETOUR 400101</t>
  </si>
  <si>
    <t>Clapet</t>
  </si>
  <si>
    <t>Depose repose</t>
  </si>
  <si>
    <t>SRU164</t>
  </si>
  <si>
    <t>S1-SRU164</t>
  </si>
  <si>
    <t>REMPLACEMENT VANNE ISOLEMENT SR04</t>
  </si>
  <si>
    <t>Métal</t>
  </si>
  <si>
    <t>SRU165</t>
  </si>
  <si>
    <t>S1-SRU165</t>
  </si>
  <si>
    <t>REMPLACEMENT VANNE + PURGEUR - PU33</t>
  </si>
  <si>
    <t xml:space="preserve">Tuyauterie </t>
  </si>
  <si>
    <t>SRU165-1
SRU165-2</t>
  </si>
  <si>
    <t>SRU166</t>
  </si>
  <si>
    <t>S1-SRU166</t>
  </si>
  <si>
    <t>REMPLACEMENT VANNE + PURGEUR PU32</t>
  </si>
  <si>
    <t>SRU166-1
SRU166-2</t>
  </si>
  <si>
    <t>SRU167</t>
  </si>
  <si>
    <t>S1-SRU167</t>
  </si>
  <si>
    <t>REMPLACEMENT VANNE ISOLEMENT + PURGEUR SR04</t>
  </si>
  <si>
    <t>SRU167-1
SRU167-2</t>
  </si>
  <si>
    <t>SRU178</t>
  </si>
  <si>
    <t>S1-SRU178</t>
  </si>
  <si>
    <t>REMPLACEMENT VANNE VAPEUR PU18</t>
  </si>
  <si>
    <t>VM Soudée</t>
  </si>
  <si>
    <t>SRU178-1
SRU178-2</t>
  </si>
  <si>
    <t>SRU193</t>
  </si>
  <si>
    <t>S1-SRU193</t>
  </si>
  <si>
    <t>REMPLACEMENT VANNE VAPEUR SUR PU23</t>
  </si>
  <si>
    <t>SRU193-1
SRU193-2</t>
  </si>
  <si>
    <t>SRU194</t>
  </si>
  <si>
    <t>S1-SRU194</t>
  </si>
  <si>
    <t>REMPLACEMENT VANNE VAPEUR SUR PU08</t>
  </si>
  <si>
    <t>SRU194-1
SRU194-2</t>
  </si>
  <si>
    <t>SRU195</t>
  </si>
  <si>
    <t>S1-SRU195</t>
  </si>
  <si>
    <t>REMPLACEMENT VANNE VAPEUR SUR PU 30</t>
  </si>
  <si>
    <t>SRU195-1
SRU195-2</t>
  </si>
  <si>
    <t>STU156</t>
  </si>
  <si>
    <t>S1-STU156</t>
  </si>
  <si>
    <t>DEPOSE COLLIER CS02 + REMPLACEMENT TUYAUTERIE</t>
  </si>
  <si>
    <t>STU156-1</t>
  </si>
  <si>
    <t>STU169</t>
  </si>
  <si>
    <t>S1-STU169</t>
  </si>
  <si>
    <t>REMPLACEMENT CLARINETTE COMPLETE SD29 + VANNE PRINCIPAL+ DEPOSE COLLIERS PRESTO-FUITE B-7074/75/77</t>
  </si>
  <si>
    <t>VM soudée 
+ Clarinette</t>
  </si>
  <si>
    <t>STU169-1
STU169-2</t>
  </si>
  <si>
    <t>STU171</t>
  </si>
  <si>
    <t>S1-STU171</t>
  </si>
  <si>
    <t>DEPOSE COLLIER B7072 + REMPLACEMENT TUYAUTERIE RETOUR CONDENSATS PU03</t>
  </si>
  <si>
    <t>STU172</t>
  </si>
  <si>
    <t>S1-STU172</t>
  </si>
  <si>
    <t>DEPOSE COLLIER B7073 + REMPLACEMENT TRONCON TUYAUTERIE</t>
  </si>
  <si>
    <t>STU172-1</t>
  </si>
  <si>
    <t>STU185</t>
  </si>
  <si>
    <t>S1-STU185</t>
  </si>
  <si>
    <t xml:space="preserve">DEPOSE COLLIER N°7086 + REMPLACEMENT TRONÇON </t>
  </si>
  <si>
    <t>STU185-1
STU185-2</t>
  </si>
  <si>
    <t>Nettoyage ligne + Remplacement tuyauterie</t>
  </si>
  <si>
    <t>T1012</t>
  </si>
  <si>
    <t>S1-T1012</t>
  </si>
  <si>
    <t>ISOLEMENT - NETTOYAGE HP - INSPECTION IHE - TRAVAUX BE</t>
  </si>
  <si>
    <t>Tank</t>
  </si>
  <si>
    <t>T1012-1</t>
  </si>
  <si>
    <t>T1063</t>
  </si>
  <si>
    <t>S1-T1063</t>
  </si>
  <si>
    <t>T1063-1</t>
  </si>
  <si>
    <t>Platinage</t>
  </si>
  <si>
    <t>TRP189</t>
  </si>
  <si>
    <t>S1-TRP189</t>
  </si>
  <si>
    <t>REMPLACEMENT VANNE MANU DANS RACK</t>
  </si>
  <si>
    <t>K39750ALV</t>
  </si>
  <si>
    <t>K39750BLV</t>
  </si>
  <si>
    <t>S2-K39750BLV</t>
  </si>
  <si>
    <t>OTG013</t>
  </si>
  <si>
    <t>S2-OTG013</t>
  </si>
  <si>
    <t>Nettoyage des caniveaux SYNTHESE</t>
  </si>
  <si>
    <t>OTG019</t>
  </si>
  <si>
    <t>S2-OTG019</t>
  </si>
  <si>
    <t xml:space="preserve">NETTOYAGE DES SOLS + RETENTION SYNTHESE </t>
  </si>
  <si>
    <t>OTG020</t>
  </si>
  <si>
    <t>S2-OTG020</t>
  </si>
  <si>
    <t>Caniveaux Tank Farm + BONA + Pompage puisards</t>
  </si>
  <si>
    <t>OTG021</t>
  </si>
  <si>
    <t>S2-OTG021</t>
  </si>
  <si>
    <t>Nettoyage des sols + sols dans rétentions TF-99</t>
  </si>
  <si>
    <t>OTG023</t>
  </si>
  <si>
    <t>S2-OTG023</t>
  </si>
  <si>
    <t>TRANSPORT VANNES, SOUPAPE SYNTHESE</t>
  </si>
  <si>
    <t>OTG024</t>
  </si>
  <si>
    <t>S2-OTG024</t>
  </si>
  <si>
    <t>Préparation de chantier EGA/EGMA SYNTHESE</t>
  </si>
  <si>
    <t>OTG025</t>
  </si>
  <si>
    <t>S2-OTG025</t>
  </si>
  <si>
    <t>Préparation de chantier EGA/EGMA TANK FARM</t>
  </si>
  <si>
    <t>OTG028</t>
  </si>
  <si>
    <t>S2-OTG028</t>
  </si>
  <si>
    <t>Préparation de chantier EGA TANK FARM</t>
  </si>
  <si>
    <t>OTG029</t>
  </si>
  <si>
    <t>S2-OTG029</t>
  </si>
  <si>
    <t>Préparation de chantier divers EGA SYNTHESE</t>
  </si>
  <si>
    <t>OTG030</t>
  </si>
  <si>
    <t>S2-OTG030</t>
  </si>
  <si>
    <t>Prise de cote tuyauteur EGA SYNTHESE</t>
  </si>
  <si>
    <t>OTG031</t>
  </si>
  <si>
    <t>S2-OTG031</t>
  </si>
  <si>
    <t>Prise de cote tuyauteur EGA TF-99</t>
  </si>
  <si>
    <t>OTG033</t>
  </si>
  <si>
    <t>S2-OTG033</t>
  </si>
  <si>
    <t xml:space="preserve">DECONTAMINATION ROBINETTERIE </t>
  </si>
  <si>
    <t>OTG034</t>
  </si>
  <si>
    <t>S2-OTG034</t>
  </si>
  <si>
    <t>travaux Inspection SYNTHESE</t>
  </si>
  <si>
    <t>OTG040</t>
  </si>
  <si>
    <t>S2-OTG040</t>
  </si>
  <si>
    <t xml:space="preserve">TIR RADIO SYNTHESE </t>
  </si>
  <si>
    <t>OTG043</t>
  </si>
  <si>
    <t>S2-OTG043</t>
  </si>
  <si>
    <t>EXPERTISE JOINTS SYNTHESE</t>
  </si>
  <si>
    <t>OTG044</t>
  </si>
  <si>
    <t>S2-OTG044</t>
  </si>
  <si>
    <t>RESSERAGE FIN D'ARRET SYNTHESE</t>
  </si>
  <si>
    <t>OTG047</t>
  </si>
  <si>
    <t>S2-OTG047</t>
  </si>
  <si>
    <t>INSTALLATION COFFRET ELECTRIQUE SYNTHESE</t>
  </si>
  <si>
    <t>OTG051</t>
  </si>
  <si>
    <t>S2-OTG051</t>
  </si>
  <si>
    <t xml:space="preserve">TRAVAUX REPRISE PEINTURE </t>
  </si>
  <si>
    <t>OTG052</t>
  </si>
  <si>
    <t>S2-OTG052</t>
  </si>
  <si>
    <t>ISOLEMENT QUALITÉ CATA ÉTAPE 1</t>
  </si>
  <si>
    <t>depose pose calo</t>
  </si>
  <si>
    <t>Calorifuge</t>
  </si>
  <si>
    <t>OTG054</t>
  </si>
  <si>
    <t>S2-OTG054</t>
  </si>
  <si>
    <t>ISOLEMENT QUALITÉ T1027</t>
  </si>
  <si>
    <t>Depose calo + réparation traceur si besoin</t>
  </si>
  <si>
    <t>OTG055</t>
  </si>
  <si>
    <t>S2-OTG055</t>
  </si>
  <si>
    <t>ISOLEMENT QUALITÉ S2221</t>
  </si>
  <si>
    <t>Depose calo/traceur + pose calo</t>
  </si>
  <si>
    <t>OTG056</t>
  </si>
  <si>
    <t>S2-OTG056</t>
  </si>
  <si>
    <t>ISOLEMENT QUALITÉ S2351</t>
  </si>
  <si>
    <t>OTG057</t>
  </si>
  <si>
    <t>S2-OTG057</t>
  </si>
  <si>
    <t>ISOLEMENT QUALITÉ S5061</t>
  </si>
  <si>
    <t>OTG058</t>
  </si>
  <si>
    <t>S2-OTG058</t>
  </si>
  <si>
    <t>Pose et dépose des échafaudages exterieurs SYNTHESE</t>
  </si>
  <si>
    <t>Pose depose echaf</t>
  </si>
  <si>
    <t>OTG059</t>
  </si>
  <si>
    <t>S2-OTG059</t>
  </si>
  <si>
    <t>POSE / DEPOSE CALORIFUGE SYNTHESE</t>
  </si>
  <si>
    <t>depose repose calo</t>
  </si>
  <si>
    <t>OTG176</t>
  </si>
  <si>
    <t>S2-OTG176</t>
  </si>
  <si>
    <t>ISOLEMENT QUALITÉ NH4OH S2020</t>
  </si>
  <si>
    <t>OTG177</t>
  </si>
  <si>
    <t>S2-OTG177</t>
  </si>
  <si>
    <t>ISOLEMENT QUALITÉ T1028</t>
  </si>
  <si>
    <t>Pose depose echaf calo + réparation traceur si besoin</t>
  </si>
  <si>
    <t>PSVBS464</t>
  </si>
  <si>
    <t>S2-PSVBS464</t>
  </si>
  <si>
    <t>PASSAGE AU BANC PSV-BS-464</t>
  </si>
  <si>
    <t>Pose bride pleine pour passage au banc</t>
  </si>
  <si>
    <t>PSVBS471</t>
  </si>
  <si>
    <t>S2-PSVBS471</t>
  </si>
  <si>
    <t>PSVBS473</t>
  </si>
  <si>
    <t>S2-PSVBS473</t>
  </si>
  <si>
    <t>PSVBS474</t>
  </si>
  <si>
    <t>S2-PSVBS474</t>
  </si>
  <si>
    <t>TRAVAUX BE PSV-BS-0608  + PASSAGE AU BANC PSV-BS-0474</t>
  </si>
  <si>
    <t>PSVBS475</t>
  </si>
  <si>
    <t>S2-PSVBS475</t>
  </si>
  <si>
    <t>PSVBS506</t>
  </si>
  <si>
    <t>S2-PSVBS506</t>
  </si>
  <si>
    <t>TRAVAUX BE: DÉPLACEMENT SOUPAPE PSV-BS-506 POUR MISE EN CONFORMITÉ</t>
  </si>
  <si>
    <t>PSVBS507</t>
  </si>
  <si>
    <t>S2-PSVBS507</t>
  </si>
  <si>
    <t>PSVBS530</t>
  </si>
  <si>
    <t>S2-PSVBS530</t>
  </si>
  <si>
    <t xml:space="preserve">PASSAGE AU BANC + INSPECTION SOUPAPE AVEC DÉPOSE </t>
  </si>
  <si>
    <t>PSVBT0762</t>
  </si>
  <si>
    <t>S2-PSVBT0762</t>
  </si>
  <si>
    <t>PASSAGE AU BANC PSV-BT-0762</t>
  </si>
  <si>
    <t>S1128</t>
  </si>
  <si>
    <t>S2-S1128</t>
  </si>
  <si>
    <t>ISOLEMENT + NETTOYAGE HP + DEPOSE COLLIER N°7001 + REMPLACEMENT CANNE</t>
  </si>
  <si>
    <t>S1128-1
S1128-2</t>
  </si>
  <si>
    <t>S1161</t>
  </si>
  <si>
    <t>S2-S1161</t>
  </si>
  <si>
    <t>ISOLEMENT + NETTOYAGE HP POT ET LIGNE VERS S5166</t>
  </si>
  <si>
    <t>S1187</t>
  </si>
  <si>
    <t>S2-S1187</t>
  </si>
  <si>
    <t>x</t>
  </si>
  <si>
    <t>S1621</t>
  </si>
  <si>
    <t>S2-S1621</t>
  </si>
  <si>
    <t>ISOLEMENT - NETTOYAGE HP - CONTRÔLE INTERNE</t>
  </si>
  <si>
    <t>S2020</t>
  </si>
  <si>
    <t>S2-S2020</t>
  </si>
  <si>
    <t xml:space="preserve">OUVERTURE POUR REMPLACEMENT DES CANNES D'INJECTION + INSPECTION PERIODIQUE + NETTOYAGE  </t>
  </si>
  <si>
    <t>Cannes HCN</t>
  </si>
  <si>
    <t>S2021</t>
  </si>
  <si>
    <t>S2-S2021</t>
  </si>
  <si>
    <t>REMPLACEMENT CANNE D'INJECTION HCN + INSPECTION + NETTOYAGE HP PIQUAGE &amp; INTERNE</t>
  </si>
  <si>
    <t>S2022</t>
  </si>
  <si>
    <t>S2-S2022</t>
  </si>
  <si>
    <t>REMPLACEMENT CANNE D'INJECTION HCN + INSPECTION + NETTOYAGE HP PIQUAGE &amp; INTERNE + PASSAGE AU BANC PSV-BS-455</t>
  </si>
  <si>
    <t>S2221</t>
  </si>
  <si>
    <t>S2-S2221</t>
  </si>
  <si>
    <t>ISOLEMENT - NETTOYAGE - TRAVAUX MECANIQUE - SVPD PSV-BS-0440 + PSV-BS-0441</t>
  </si>
  <si>
    <t>S2720</t>
  </si>
  <si>
    <t>S2-S2720</t>
  </si>
  <si>
    <t>NETTOYAGE CHIMIQUE CALANDRE + NETTOYAGE HP FAISCEAU  + INSP SVPD PSV-BS-0561
+ REMPLACEMENT VERIN S54033V</t>
  </si>
  <si>
    <t>S2722</t>
  </si>
  <si>
    <t>S2-S2722</t>
  </si>
  <si>
    <t>REMPLACEMENT VANNES MANU</t>
  </si>
  <si>
    <t>S2730</t>
  </si>
  <si>
    <t>S2-S2730</t>
  </si>
  <si>
    <t>NETTOYAGE CHIMIQUE CALANDRE + NETTOYAGE HP FAISCEAU  + REVISION VERIN S5502 + INSP SVPD SOUPAPE PSV-BS-534</t>
  </si>
  <si>
    <t>S2787</t>
  </si>
  <si>
    <t>S2-S2787</t>
  </si>
  <si>
    <t>OUVERTURE - NETTOYAGE MP TUBES + PLAQUES + BOITES</t>
  </si>
  <si>
    <t>S2788</t>
  </si>
  <si>
    <t>S2-S2788</t>
  </si>
  <si>
    <t>S3085</t>
  </si>
  <si>
    <t>S2-S3085</t>
  </si>
  <si>
    <t>NETTOYAGE M.P DU FAISCEAU ET INSPECTION IP RP COTE FAISCEAU</t>
  </si>
  <si>
    <t>S3085-1
S3085-2
S3085-3</t>
  </si>
  <si>
    <t>S4030BPV</t>
  </si>
  <si>
    <t>S2-S4030BPV</t>
  </si>
  <si>
    <t>S42320APV</t>
  </si>
  <si>
    <t>S2-S42320APV</t>
  </si>
  <si>
    <t>Pas le meme nom partout, S2-S42320A Pour le dossier technique</t>
  </si>
  <si>
    <t>S4232BPV</t>
  </si>
  <si>
    <t>S2-S4232BPV</t>
  </si>
  <si>
    <t>Pas le meme nom partout, S42320BPV pour le dossier technique</t>
  </si>
  <si>
    <t>S4814HSV</t>
  </si>
  <si>
    <t>S2-S4814HSV</t>
  </si>
  <si>
    <t>S4818V</t>
  </si>
  <si>
    <t>S2-S4818V</t>
  </si>
  <si>
    <t>S5063</t>
  </si>
  <si>
    <t>S2-S5063</t>
  </si>
  <si>
    <t>REMPLACEMENT REDUCTEUR + ARBRE/AGITATION  CONTRÔLE PALES + INSP. SOUPAPE/MESURE EPAISSEUR + TRAVAUX METALLURGIE</t>
  </si>
  <si>
    <t>Mélangeur</t>
  </si>
  <si>
    <t>S5063-1
S5063-2
S5063-3
S5063-4</t>
  </si>
  <si>
    <t xml:space="preserve">En REV C annulation travaux métal 
+Depose des deux verins </t>
  </si>
  <si>
    <t>S5120</t>
  </si>
  <si>
    <t>S2-S5120</t>
  </si>
  <si>
    <t>REVISION POMPE</t>
  </si>
  <si>
    <t>S5165</t>
  </si>
  <si>
    <t>S2-S5165</t>
  </si>
  <si>
    <t>REVISION MOBILE</t>
  </si>
  <si>
    <t>S5185</t>
  </si>
  <si>
    <t>S2-S5185</t>
  </si>
  <si>
    <t>REVISION MOBILE + REMPLACEMENT VANNE ENCADREMENT &amp; CLAPET</t>
  </si>
  <si>
    <t>Intervention</t>
  </si>
  <si>
    <t>Echafaudage/calorifuge</t>
  </si>
  <si>
    <t>S5221</t>
  </si>
  <si>
    <t>S2-S5221</t>
  </si>
  <si>
    <t>REMPLACEMENT MOTEUR + FILTRE A HUILE</t>
  </si>
  <si>
    <t>Pose dépose echaf</t>
  </si>
  <si>
    <t>S5285</t>
  </si>
  <si>
    <t>S2-S5285</t>
  </si>
  <si>
    <t>S54020FV</t>
  </si>
  <si>
    <t>S2-S54020FV</t>
  </si>
  <si>
    <t>S54090FV</t>
  </si>
  <si>
    <t>S2-S54090FV</t>
  </si>
  <si>
    <t>S54116FV</t>
  </si>
  <si>
    <t>S2-S54116FV</t>
  </si>
  <si>
    <t>S5411-V</t>
  </si>
  <si>
    <t>S2-S5411-V</t>
  </si>
  <si>
    <t>REVISION COMPLETE VERIN</t>
  </si>
  <si>
    <t>S54126FV</t>
  </si>
  <si>
    <t>S2-S54126FV</t>
  </si>
  <si>
    <t>S5421HSV</t>
  </si>
  <si>
    <t>S2-S5421HSV</t>
  </si>
  <si>
    <t>S54240LV</t>
  </si>
  <si>
    <t>S2-S54240LV</t>
  </si>
  <si>
    <t>S54250LV</t>
  </si>
  <si>
    <t>S2-S54250LV</t>
  </si>
  <si>
    <t>S54400TV</t>
  </si>
  <si>
    <t>S2-S54400TV</t>
  </si>
  <si>
    <t>S5500HSV</t>
  </si>
  <si>
    <t>S2-S5500HSV</t>
  </si>
  <si>
    <t>S5510HSV</t>
  </si>
  <si>
    <t>S2-S5510HSV</t>
  </si>
  <si>
    <t>S55140FV</t>
  </si>
  <si>
    <t>S2-S55140FV</t>
  </si>
  <si>
    <t>S55150FV</t>
  </si>
  <si>
    <t>S2-S55150FV</t>
  </si>
  <si>
    <t>S55191FV</t>
  </si>
  <si>
    <t>S2-S55191FV</t>
  </si>
  <si>
    <t>S5520HSV</t>
  </si>
  <si>
    <t>S2-S5520HSV</t>
  </si>
  <si>
    <t>S55340BPV</t>
  </si>
  <si>
    <t>S2-S55340BPV</t>
  </si>
  <si>
    <t>S61090FV</t>
  </si>
  <si>
    <t>S2-S61090FV</t>
  </si>
  <si>
    <t>S6140ASTV</t>
  </si>
  <si>
    <t>S2-S6140ASTV</t>
  </si>
  <si>
    <t>S6485</t>
  </si>
  <si>
    <t>S2-S6485</t>
  </si>
  <si>
    <t>VIDANGE FREON VERS LE GROUPE DE TRANSFERT</t>
  </si>
  <si>
    <t>S7562</t>
  </si>
  <si>
    <t>S2-S7562</t>
  </si>
  <si>
    <t>REMPLACEMENT ENSEMBLE VIS TRÉMIS</t>
  </si>
  <si>
    <t>Robinetterie</t>
  </si>
  <si>
    <t xml:space="preserve">Vis sans fin </t>
  </si>
  <si>
    <t>SLP138</t>
  </si>
  <si>
    <t>S2-SLP138</t>
  </si>
  <si>
    <t>INSPECTION CONTRÔLE VISUEL EXTERNE TUYAUTERIE 2703.00ST</t>
  </si>
  <si>
    <t>Depose pose calo</t>
  </si>
  <si>
    <t>SRP003</t>
  </si>
  <si>
    <t>S2-SRP003</t>
  </si>
  <si>
    <t>REMPLACEMENT VANNE MANU. 2B, 2O, 2L, 2M / SAS HCN ETAPE 2</t>
  </si>
  <si>
    <t>4 VM</t>
  </si>
  <si>
    <t>SRP004</t>
  </si>
  <si>
    <t>S2-SRP004</t>
  </si>
  <si>
    <t>REMPLACEMENT VANNE MANU. D, E, H, J, K  / SAS HCN SUD</t>
  </si>
  <si>
    <t>T2752</t>
  </si>
  <si>
    <t>S2-T2752</t>
  </si>
  <si>
    <t>PLATINAGE - OUVERTURE - NETTOYAGE HP - INSPECTION PERIODIQUE</t>
  </si>
  <si>
    <t>S40370PV</t>
  </si>
  <si>
    <t>S3-S40370PV</t>
  </si>
  <si>
    <t>OTG035</t>
  </si>
  <si>
    <t>S3-OTG035</t>
  </si>
  <si>
    <t>Contrôle Inspection TF-99</t>
  </si>
  <si>
    <t>OTG038</t>
  </si>
  <si>
    <t>S3-OTG038</t>
  </si>
  <si>
    <t>TIR RADIO TF-99</t>
  </si>
  <si>
    <t>OTG045</t>
  </si>
  <si>
    <t>S3-OTG045</t>
  </si>
  <si>
    <t>RESSERAGE FIN D'ARRET TF-99</t>
  </si>
  <si>
    <t>OTG048</t>
  </si>
  <si>
    <t>S3-OTG048</t>
  </si>
  <si>
    <t>COFFRETS ELECTRIQUE TF-99</t>
  </si>
  <si>
    <t>OTG068</t>
  </si>
  <si>
    <t>S3-OTG068</t>
  </si>
  <si>
    <t>T1001</t>
  </si>
  <si>
    <t>S3-T1001</t>
  </si>
  <si>
    <t xml:space="preserve">TRAVAUX BE - INSPECTION IHE </t>
  </si>
  <si>
    <t>T1001-1</t>
  </si>
  <si>
    <t>T1002</t>
  </si>
  <si>
    <t>S3-T1002</t>
  </si>
  <si>
    <t>ISOLEMENT + NETTOYAGE HP + INSPECTION IHE</t>
  </si>
  <si>
    <t>T1002-1</t>
  </si>
  <si>
    <t>T2761</t>
  </si>
  <si>
    <t>S3-T2761</t>
  </si>
  <si>
    <t>PLATINAGE + DEPOSE BOITES + NETTOYAGE HP + INSPECTION PERIODIQUE</t>
  </si>
  <si>
    <t>PSVBT796</t>
  </si>
  <si>
    <t>S4-PSVBT796</t>
  </si>
  <si>
    <t>VISITE AVEC DEPOSE SOUPAPE PSV-BT-796 SANS PASSAGE AU BANC</t>
  </si>
  <si>
    <t>PSVBT797</t>
  </si>
  <si>
    <t>S4-PSVBT797</t>
  </si>
  <si>
    <t>VISITE AVEC DEPOSE SOUPAPE PSV-BT-797 SANS PASSAGE AU BANC</t>
  </si>
  <si>
    <t>PSVBT-798</t>
  </si>
  <si>
    <t>S2-PSVBT-798</t>
  </si>
  <si>
    <t>VISITE AVEC DEPOSE SOUPAPE PSV-BT-798 SANS PASSAGE AU BANC</t>
  </si>
  <si>
    <t>Pas le meme nom, PSVBT798 fichier tech</t>
  </si>
  <si>
    <t>PSVBT856</t>
  </si>
  <si>
    <t>S4-PSVBT856</t>
  </si>
  <si>
    <t>PASSAGE AU BANC PSV-BT-856</t>
  </si>
  <si>
    <t>PSVBT857</t>
  </si>
  <si>
    <t>S4-PSVBT857</t>
  </si>
  <si>
    <t>PASSAGE AU BANC PSV-BT-857</t>
  </si>
  <si>
    <t>PSVBT900</t>
  </si>
  <si>
    <t>S4-PSVBT900</t>
  </si>
  <si>
    <t>PASSAGE AU BANC PSV-BT-900</t>
  </si>
  <si>
    <t>PSVBT901</t>
  </si>
  <si>
    <t>S4-PSVBT901</t>
  </si>
  <si>
    <t>PASSAGE AU BANC PSV-BT-901</t>
  </si>
  <si>
    <t>T1045</t>
  </si>
  <si>
    <t>S4-T1045</t>
  </si>
  <si>
    <t xml:space="preserve">ISOLEMENT + NETTOYAGE HP + INSPECTION IHE </t>
  </si>
  <si>
    <t>T1045-1</t>
  </si>
  <si>
    <t>T2756</t>
  </si>
  <si>
    <t>S4-T2756</t>
  </si>
  <si>
    <t>NETTOYAGE CALANDRE / FAISCEAU + EXAMEN PERIODIQUE SOUPAPE PSV-BT-2756F</t>
  </si>
  <si>
    <t>T2756-1</t>
  </si>
  <si>
    <t>T2783</t>
  </si>
  <si>
    <t>S4-T2783</t>
  </si>
  <si>
    <t>PLATINAGE - OUVERTURE - REMPLACEMENT CALANDRE - NETTOYAGE HP - EXTRACTION FAISCEAU - INSPECTION PERIODIQUE</t>
  </si>
  <si>
    <t>T4014</t>
  </si>
  <si>
    <t>S4-T4014</t>
  </si>
  <si>
    <t xml:space="preserve">MISE EN PLACE CAPS </t>
  </si>
  <si>
    <t>T4014-1 
T4014-2</t>
  </si>
  <si>
    <t>T5389</t>
  </si>
  <si>
    <t>S4-T5389</t>
  </si>
  <si>
    <t>REMPLACEMENT VANNE MANU</t>
  </si>
  <si>
    <t>2 VM</t>
  </si>
  <si>
    <t>TTU158</t>
  </si>
  <si>
    <t>S4-TTU158</t>
  </si>
  <si>
    <t xml:space="preserve">DEPOSE COLLIER PRESTO 2721 + REMPLACEMEMENT BRIDE / PREVOIR REDUCTION + REMPLACEMENT VANNE </t>
  </si>
  <si>
    <t>TTU158-1</t>
  </si>
  <si>
    <t xml:space="preserve">Changement bride, ech std </t>
  </si>
  <si>
    <t>TTU168</t>
  </si>
  <si>
    <t>S4-TTU168</t>
  </si>
  <si>
    <t>REMPLACEMENT CLARINETTE</t>
  </si>
  <si>
    <t>T1016</t>
  </si>
  <si>
    <t>S5-T1016</t>
  </si>
  <si>
    <t>T1016-1</t>
  </si>
  <si>
    <t>T1078</t>
  </si>
  <si>
    <t>S5-T1078</t>
  </si>
  <si>
    <t>ISOLEMENT + NETTOYAGE HP INTERNE + INSPECTION PERIODIQUE</t>
  </si>
  <si>
    <t>T2371</t>
  </si>
  <si>
    <t>S5-T2371</t>
  </si>
  <si>
    <t>ISOLEMENT + NETTOYAGE HP + INSPECTION PERIODIQUE</t>
  </si>
  <si>
    <t>T3074</t>
  </si>
  <si>
    <t>S5-T3074</t>
  </si>
  <si>
    <t>OUVERTURE / DEPOSE POUR NETTOYAGE HP + INSPECTION PERIODIQUE</t>
  </si>
  <si>
    <t>T5471</t>
  </si>
  <si>
    <t>S5-T5471</t>
  </si>
  <si>
    <t>VIDANGE HUILE + IPX T1071 A/B</t>
  </si>
  <si>
    <t>T5472</t>
  </si>
  <si>
    <t>S5-T5472</t>
  </si>
  <si>
    <t>VIDANGE HUILE + IPX T1072 A/B</t>
  </si>
  <si>
    <t>T5475</t>
  </si>
  <si>
    <t>S5-T5475</t>
  </si>
  <si>
    <t>VIDANGE HUILE POMPE</t>
  </si>
  <si>
    <t>Depose pose calo + traceur</t>
  </si>
  <si>
    <t>T5477</t>
  </si>
  <si>
    <t>S5-T5477</t>
  </si>
  <si>
    <t>LOGISTIQUE</t>
  </si>
  <si>
    <t>B1001-V</t>
  </si>
  <si>
    <t>S6-B1001-V</t>
  </si>
  <si>
    <t>REVISION COMPLETE VERIN B1001V + CVET 0466.00T</t>
  </si>
  <si>
    <t>vanne auto</t>
  </si>
  <si>
    <t>Dépose pose 2 soupapes ??(vérin)</t>
  </si>
  <si>
    <t>,</t>
  </si>
  <si>
    <t>B1008HSV</t>
  </si>
  <si>
    <t>S6-B1008HSV</t>
  </si>
  <si>
    <t>REVISION COMPLETE VERIN B1008HSV</t>
  </si>
  <si>
    <t>B2008-V</t>
  </si>
  <si>
    <t>S6-B2008-V</t>
  </si>
  <si>
    <t>REVISION COMPLETE DU VERIN</t>
  </si>
  <si>
    <t>B2090-V</t>
  </si>
  <si>
    <t>S6-B2090-V</t>
  </si>
  <si>
    <t>REVISION COMPLETE DU VERIN B2090V</t>
  </si>
  <si>
    <t>B25400TV</t>
  </si>
  <si>
    <t>S6-B25400TV</t>
  </si>
  <si>
    <t>B6401</t>
  </si>
  <si>
    <t>S6-B6401</t>
  </si>
  <si>
    <t>B6411</t>
  </si>
  <si>
    <t>S6-B6411</t>
  </si>
  <si>
    <t>B7410</t>
  </si>
  <si>
    <t>S6-B7410</t>
  </si>
  <si>
    <t>REVISION COMPLETE BRAS DE CHARGEMENT + ESSAI PERC &amp; HORS ZONE</t>
  </si>
  <si>
    <t>Pose depose echaf + reserrage selon constat</t>
  </si>
  <si>
    <t>BRU179</t>
  </si>
  <si>
    <t>S6-BRU179</t>
  </si>
  <si>
    <t>REMPLACEMENT VANNE AZOTE</t>
  </si>
  <si>
    <t>D7420</t>
  </si>
  <si>
    <t>S6-D7420</t>
  </si>
  <si>
    <t>OTG037</t>
  </si>
  <si>
    <t>S6-OTG037</t>
  </si>
  <si>
    <t>INSPECTION BUTADIENE LOG</t>
  </si>
  <si>
    <t>OTG041</t>
  </si>
  <si>
    <t>S6-OTG041</t>
  </si>
  <si>
    <t>TIR RADIO BUTADIENE LOG</t>
  </si>
  <si>
    <t>OTG050</t>
  </si>
  <si>
    <t>S6-OTG050</t>
  </si>
  <si>
    <t>INSTALLATION COFFRET ELECTRIQUE BUTADIENE LOG</t>
  </si>
  <si>
    <t>OTG064</t>
  </si>
  <si>
    <t>S6-OTG064</t>
  </si>
  <si>
    <t>Pose et dépose des échafaudages exterieur BUTADIENE LOG</t>
  </si>
  <si>
    <t>OTG065</t>
  </si>
  <si>
    <t>S6-OTG065</t>
  </si>
  <si>
    <t>POSE / DEPOSE CALORIFUGE BUTADIENE LOG</t>
  </si>
  <si>
    <t>OTG072</t>
  </si>
  <si>
    <t>S6-OTG072</t>
  </si>
  <si>
    <t>REPARATION TRACEUR VAPEUR BUTADIENE LOG</t>
  </si>
  <si>
    <t>OTG073</t>
  </si>
  <si>
    <t>S6-OTG073</t>
  </si>
  <si>
    <t>Remise en état des traceurs électrique en fin d'arrêt BUTADIENE LOG</t>
  </si>
  <si>
    <t>PSVBB2004</t>
  </si>
  <si>
    <t>S6-PSVBB2004</t>
  </si>
  <si>
    <t>PASSAGE AU BANC PSV-BB-2004</t>
  </si>
  <si>
    <t>PSVPI2000</t>
  </si>
  <si>
    <t>S6-PSVPI2000</t>
  </si>
  <si>
    <t>PASSAGE AU BANC SOUPAPE</t>
  </si>
  <si>
    <t>SRU196</t>
  </si>
  <si>
    <t>S1-SRU196</t>
  </si>
  <si>
    <t>REMPLACEMENT VANNE DE PURGE SUR SD07</t>
  </si>
  <si>
    <t>S4250V</t>
  </si>
  <si>
    <t>S1-S4250V</t>
  </si>
  <si>
    <t>REMPLACEMENT VÉRIN</t>
  </si>
  <si>
    <t>STP198</t>
  </si>
  <si>
    <t>S1-STP198</t>
  </si>
  <si>
    <t>PRÉCONISATION REMPLACEMENT / ÉQUILIBRAGE BOULONNERIE</t>
  </si>
  <si>
    <t xml:space="preserve">Autre </t>
  </si>
  <si>
    <t>Schéma opération pas clair, entoure une VM, confirmer avec client nature des travaux</t>
  </si>
  <si>
    <t>PSVBS6103</t>
  </si>
  <si>
    <t>S1-PSVBS6103</t>
  </si>
  <si>
    <t>PASSAGE AU BANC PSV-BS-6103</t>
  </si>
  <si>
    <t>SRU204</t>
  </si>
  <si>
    <t>S1-SRU204</t>
  </si>
  <si>
    <t xml:space="preserve">DEPOSE COLLIER PRESTO N°7093 SUR TUYAUTERIE 40 C01 S98081 + REMPLACEMENT VANNE MANUELLE </t>
  </si>
  <si>
    <t>S2602</t>
  </si>
  <si>
    <t>S1-S2602</t>
  </si>
  <si>
    <t xml:space="preserve">TEST HYDRAULIQUE CALANDRE </t>
  </si>
  <si>
    <t>SLP102</t>
  </si>
  <si>
    <t>S1-SLP102</t>
  </si>
  <si>
    <t>MESURES D'EPAISSEUR LIGNE 3694.00T</t>
  </si>
  <si>
    <t>SLP103</t>
  </si>
  <si>
    <t>S1-SLP103</t>
  </si>
  <si>
    <t>MESURES D'EPAISSEUR LIGNE 3695.00T</t>
  </si>
  <si>
    <t>SLP113</t>
  </si>
  <si>
    <t>S1-SLP113</t>
  </si>
  <si>
    <t>MESURES D'EPAISSEUR LIGNE 3696.00T</t>
  </si>
  <si>
    <t>PSVBS489</t>
  </si>
  <si>
    <t>S2-PSVBS489</t>
  </si>
  <si>
    <t xml:space="preserve">EXAMEN PEROIDIQUE SOUPAPE </t>
  </si>
  <si>
    <t>S5025SV</t>
  </si>
  <si>
    <t>S2-S5025SV</t>
  </si>
  <si>
    <t>REMPLACEMENT VERIN S5025SV</t>
  </si>
  <si>
    <t>S5061</t>
  </si>
  <si>
    <t>S2-S5061</t>
  </si>
  <si>
    <t>REMPLACEMENT VANNE FOND DE CUVE</t>
  </si>
  <si>
    <t>S5157</t>
  </si>
  <si>
    <t>S2-S5157</t>
  </si>
  <si>
    <t>REVISION S5157</t>
  </si>
  <si>
    <t>S61240LV</t>
  </si>
  <si>
    <t>S2-S61240LV</t>
  </si>
  <si>
    <t>REMPLACEMENT  S61240LV</t>
  </si>
  <si>
    <t>STP205</t>
  </si>
  <si>
    <t>S2-STP205</t>
  </si>
  <si>
    <t>REMISE EN ETAT CALO FROID SUR LIGNE F15</t>
  </si>
  <si>
    <t>T5388</t>
  </si>
  <si>
    <t>S2-T5388</t>
  </si>
  <si>
    <t>REMPLACEMENT DE LA POMPE</t>
  </si>
  <si>
    <t>T5162</t>
  </si>
  <si>
    <t>S1-T5162</t>
  </si>
  <si>
    <t xml:space="preserve">TRAVAUX BE : REMPLACEMENT MANCHETTE REFOULEMENT POMPE T5162 + POSE NOUVELLE SONDE DE TEMPERATURE S61536TT </t>
  </si>
  <si>
    <t>BLP087</t>
  </si>
  <si>
    <t>S6-BLP087</t>
  </si>
  <si>
    <t>ME LIGNE 0425.00TT</t>
  </si>
  <si>
    <t>S2-PSVBS594</t>
  </si>
  <si>
    <t>S2-S3051</t>
  </si>
  <si>
    <t>S2-S3052</t>
  </si>
  <si>
    <t>S2-S50190FV</t>
  </si>
  <si>
    <t>S1-K39750ALV</t>
  </si>
  <si>
    <t>S1-B4702</t>
  </si>
  <si>
    <t>S2-STP207</t>
  </si>
  <si>
    <t>S2-STP208</t>
  </si>
  <si>
    <t>S2-T1060</t>
  </si>
  <si>
    <t>S5-T1025-02</t>
  </si>
  <si>
    <t>S5-T1025-04</t>
  </si>
  <si>
    <t>S5-T1025-5AB</t>
  </si>
  <si>
    <t>S5-T1025-06</t>
  </si>
  <si>
    <t>S5-T1025-09</t>
  </si>
  <si>
    <t>S5-T1025-10</t>
  </si>
  <si>
    <t>S5-T1025-15</t>
  </si>
  <si>
    <t>S6-BTU206</t>
  </si>
  <si>
    <t>Pas de travaux EMIS</t>
  </si>
  <si>
    <t>Pompe</t>
  </si>
  <si>
    <t xml:space="preserve"> </t>
  </si>
  <si>
    <t>Vis trémis</t>
  </si>
  <si>
    <t xml:space="preserve">Depose pose calo / depose accumulateur </t>
  </si>
  <si>
    <t>OTG MAD</t>
  </si>
  <si>
    <t>K0</t>
  </si>
  <si>
    <t>H0</t>
  </si>
  <si>
    <t xml:space="preserve">VM+purgeur </t>
  </si>
  <si>
    <t>Tuyauterie + VM</t>
  </si>
  <si>
    <t>K0, L0</t>
  </si>
  <si>
    <t>K0, T0</t>
  </si>
  <si>
    <t>N0, L0</t>
  </si>
  <si>
    <t>L0</t>
  </si>
  <si>
    <t>H0, K0, L0</t>
  </si>
  <si>
    <t>H0, K0</t>
  </si>
  <si>
    <t>T0</t>
  </si>
  <si>
    <t>H0, L0</t>
  </si>
  <si>
    <t>H0, K0, T0, L0, N0</t>
  </si>
  <si>
    <t>N0, H0, K0, L0</t>
  </si>
  <si>
    <t>H0, K0, N0, L0, T0</t>
  </si>
  <si>
    <t>K0, H0, L0, T0</t>
  </si>
  <si>
    <t>H0, K0, N0, L0</t>
  </si>
  <si>
    <t>H0, K0, L0, T0</t>
  </si>
  <si>
    <t>L0, N0</t>
  </si>
  <si>
    <t>N0, K0, L0</t>
  </si>
  <si>
    <t>H0, L0, N0, T0</t>
  </si>
  <si>
    <t>K0, H0, L0, N0, T0</t>
  </si>
  <si>
    <t>H0, K0, L0, N0</t>
  </si>
  <si>
    <t>K0, N0</t>
  </si>
  <si>
    <t>K0, T0, L0</t>
  </si>
  <si>
    <t>K0, L0, T0</t>
  </si>
  <si>
    <t>H0, K0, T0</t>
  </si>
  <si>
    <t>H0, K0, T0, L0</t>
  </si>
  <si>
    <t>H0, L0, T0, N0</t>
  </si>
  <si>
    <t>K0, T0, L0, H0</t>
  </si>
  <si>
    <t>N0</t>
  </si>
  <si>
    <t>H0, N0</t>
  </si>
  <si>
    <t>H0, K0, L0, N0, T0</t>
  </si>
  <si>
    <t>K0, L0, N0, H0</t>
  </si>
  <si>
    <t>K0, H0, N0, L0</t>
  </si>
  <si>
    <t>H0, N0, K0, L0, T0</t>
  </si>
  <si>
    <t>H0, L0, N0</t>
  </si>
  <si>
    <t>H0, N0, K0, L0</t>
  </si>
  <si>
    <t>H0, L0, T0</t>
  </si>
  <si>
    <t>K0, T0, L0, N0</t>
  </si>
  <si>
    <t>H0, L0, K0</t>
  </si>
  <si>
    <t>D</t>
  </si>
  <si>
    <t>Colonne1</t>
  </si>
  <si>
    <t>Colonne3</t>
  </si>
  <si>
    <t>Colonne4</t>
  </si>
  <si>
    <t>S1</t>
  </si>
  <si>
    <t>S2</t>
  </si>
  <si>
    <t>S6</t>
  </si>
  <si>
    <t>S5</t>
  </si>
  <si>
    <t xml:space="preserve">REMPLACEMENT CARTOUCHES FILTRANTES </t>
  </si>
  <si>
    <t>DEVIATION DE LA TUYAUTERIE D ECHAPEMENT DE LA SOUPAPE PSVS1092 VERS LA FOSSE AQUEUSE</t>
  </si>
  <si>
    <t xml:space="preserve">CREATION D UN PIQUAGE DE VAPORISATION AVEC RACCORD TURNEX </t>
  </si>
  <si>
    <t xml:space="preserve">REMPLACEMENT MANCHETTE + POSE VERINS </t>
  </si>
  <si>
    <t xml:space="preserve">COUPE A FROID + REMPLACEMENT TUYAUTERIE </t>
  </si>
  <si>
    <t xml:space="preserve">REMPLACEMENT TUYAUTERIE </t>
  </si>
  <si>
    <t xml:space="preserve">DECOUPE A FROID + CREATION DE PIQUAGE </t>
  </si>
  <si>
    <t xml:space="preserve">DECOUPE / SOUDE + CREATION DE PIQUAGE </t>
  </si>
  <si>
    <t xml:space="preserve">MODIFICATION DE LIGNE </t>
  </si>
  <si>
    <t xml:space="preserve">MODIFICATION DES TUYAUTERIES DE RACCORDEMENTS </t>
  </si>
  <si>
    <t xml:space="preserve">DEPOSE COLLIER + REMPLACEMENT TRONCON </t>
  </si>
  <si>
    <t xml:space="preserve">DECOUPE + CREATION DE PIQUAGE </t>
  </si>
  <si>
    <t>MONT</t>
  </si>
  <si>
    <t>FOURNITURE</t>
  </si>
  <si>
    <t>T4014-1 annulé rév D</t>
  </si>
  <si>
    <t>STU171-1
STU171-2</t>
  </si>
  <si>
    <t>S1-STP215</t>
  </si>
  <si>
    <t>E</t>
  </si>
  <si>
    <t>TC</t>
  </si>
  <si>
    <t>S5-TTP216</t>
  </si>
  <si>
    <t>S1-S48000FV</t>
  </si>
  <si>
    <t>S1-S3006</t>
  </si>
  <si>
    <t>S1-S3008</t>
  </si>
  <si>
    <t>S2-T3058</t>
  </si>
  <si>
    <t>S1-STU213</t>
  </si>
  <si>
    <t>S2-STU214</t>
  </si>
  <si>
    <t>S1-STU217</t>
  </si>
  <si>
    <t>S5-T1025-03/13</t>
  </si>
  <si>
    <t>BD LOG</t>
  </si>
  <si>
    <t>Modification isolement Fosse Organique Synthèse</t>
  </si>
  <si>
    <t>Modification isolement Fosse Organique Tank Farm</t>
  </si>
  <si>
    <t>Remplacement vanne auto</t>
  </si>
  <si>
    <t>Test d'étanchéité hydraulique côté calandre</t>
  </si>
  <si>
    <t>Remplacement Vanne Manuelle DN25</t>
  </si>
  <si>
    <t>Remplacement Vanne Manuelle DN20</t>
  </si>
  <si>
    <t>Dépose collier n°7150</t>
  </si>
  <si>
    <t>K</t>
  </si>
  <si>
    <t>TA</t>
  </si>
  <si>
    <t>L0, T0, N0</t>
  </si>
  <si>
    <t>L0, T0</t>
  </si>
  <si>
    <t>H0, N0, L0, K0</t>
  </si>
  <si>
    <t>H0, N0, L0, K0, T0</t>
  </si>
  <si>
    <t>AMIANTE</t>
  </si>
  <si>
    <t>Sup TK BD</t>
  </si>
  <si>
    <t>T1060</t>
  </si>
  <si>
    <t>Unique E/C</t>
  </si>
  <si>
    <t>RAS</t>
  </si>
  <si>
    <t>RESPONSABLE  Principal</t>
  </si>
  <si>
    <t>Responsable secondaire</t>
  </si>
  <si>
    <t>Resp Metal</t>
  </si>
  <si>
    <t>Resp Synth</t>
  </si>
  <si>
    <t>Resp Robinetterie</t>
  </si>
  <si>
    <t>Resp Nett</t>
  </si>
  <si>
    <t>Resp TK BD</t>
  </si>
  <si>
    <t>Resp Rob</t>
  </si>
  <si>
    <t>Responsable secondaire2</t>
  </si>
  <si>
    <t>Resp Net</t>
  </si>
  <si>
    <t>RAs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</si>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</sst>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General\ &quot;hrs&quot;"/>
    <numFmt numFmtId="165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trike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name val="Helv"/>
    </font>
  </fonts>
  <fills count="21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BD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8" fillId="0" borderId="0"/>
    <xf numFmtId="44" fontId="1" fillId="0" borderId="0" applyFont="0" applyFill="0" applyBorder="0" applyAlignment="0" applyProtection="0"/>
    <xf numFmtId="0" fontId="18" fillId="0" borderId="0"/>
  </cellStyleXfs>
  <cellXfs count="89">
    <xf numFmtId="0" fontId="0" fillId="0" borderId="0" xfId="0"/>
    <xf numFmtId="0" fontId="0" fillId="3" borderId="0" xfId="0" applyFill="1" applyAlignment="1">
      <alignment horizontal="center" vertical="center"/>
    </xf>
    <xf numFmtId="44" fontId="0" fillId="3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4" fontId="0" fillId="3" borderId="0" xfId="1" applyFont="1" applyFill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5" fillId="10" borderId="13" xfId="0" applyFont="1" applyFill="1" applyBorder="1" applyAlignment="1">
      <alignment horizontal="center" vertical="center" textRotation="90"/>
    </xf>
    <xf numFmtId="0" fontId="4" fillId="10" borderId="14" xfId="0" applyFont="1" applyFill="1" applyBorder="1" applyAlignment="1">
      <alignment horizontal="center" vertical="center" textRotation="90"/>
    </xf>
    <xf numFmtId="0" fontId="4" fillId="10" borderId="14" xfId="0" applyFont="1" applyFill="1" applyBorder="1" applyAlignment="1">
      <alignment horizontal="center" vertical="center" textRotation="90" wrapText="1"/>
    </xf>
    <xf numFmtId="0" fontId="4" fillId="10" borderId="15" xfId="0" applyFont="1" applyFill="1" applyBorder="1" applyAlignment="1">
      <alignment horizontal="center" vertical="center" textRotation="90"/>
    </xf>
    <xf numFmtId="164" fontId="4" fillId="7" borderId="9" xfId="0" applyNumberFormat="1" applyFont="1" applyFill="1" applyBorder="1" applyAlignment="1">
      <alignment horizontal="center" vertical="center" textRotation="90"/>
    </xf>
    <xf numFmtId="164" fontId="4" fillId="7" borderId="8" xfId="0" applyNumberFormat="1" applyFont="1" applyFill="1" applyBorder="1" applyAlignment="1">
      <alignment horizontal="center" vertical="center" textRotation="90"/>
    </xf>
    <xf numFmtId="164" fontId="4" fillId="7" borderId="8" xfId="0" applyNumberFormat="1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left" vertical="center" wrapText="1"/>
    </xf>
    <xf numFmtId="0" fontId="0" fillId="3" borderId="7" xfId="0" applyFill="1" applyBorder="1" applyAlignment="1">
      <alignment horizontal="center" vertical="center"/>
    </xf>
    <xf numFmtId="44" fontId="0" fillId="3" borderId="7" xfId="1" applyFont="1" applyFill="1" applyBorder="1" applyAlignment="1">
      <alignment horizontal="center" vertical="center"/>
    </xf>
    <xf numFmtId="44" fontId="0" fillId="11" borderId="7" xfId="1" applyFont="1" applyFill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12" borderId="7" xfId="0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 textRotation="90"/>
    </xf>
    <xf numFmtId="44" fontId="0" fillId="0" borderId="7" xfId="1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left" vertical="center" wrapText="1"/>
    </xf>
    <xf numFmtId="0" fontId="14" fillId="13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165" fontId="13" fillId="0" borderId="7" xfId="0" applyNumberFormat="1" applyFont="1" applyBorder="1" applyAlignment="1">
      <alignment horizontal="center" vertical="center"/>
    </xf>
    <xf numFmtId="44" fontId="13" fillId="3" borderId="7" xfId="1" applyFont="1" applyFill="1" applyBorder="1" applyAlignment="1">
      <alignment horizontal="center" vertical="center"/>
    </xf>
    <xf numFmtId="44" fontId="13" fillId="11" borderId="7" xfId="1" applyFont="1" applyFill="1" applyBorder="1" applyAlignment="1">
      <alignment horizontal="center" vertical="center"/>
    </xf>
    <xf numFmtId="0" fontId="15" fillId="13" borderId="7" xfId="0" applyFont="1" applyFill="1" applyBorder="1" applyAlignment="1">
      <alignment horizontal="center" vertical="center"/>
    </xf>
    <xf numFmtId="44" fontId="13" fillId="13" borderId="7" xfId="1" applyFont="1" applyFill="1" applyBorder="1" applyAlignment="1">
      <alignment horizontal="center" vertical="center" wrapText="1"/>
    </xf>
    <xf numFmtId="0" fontId="0" fillId="15" borderId="7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0" fillId="11" borderId="7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 textRotation="90"/>
    </xf>
    <xf numFmtId="0" fontId="4" fillId="9" borderId="8" xfId="0" applyFont="1" applyFill="1" applyBorder="1" applyAlignment="1">
      <alignment horizontal="center" vertical="center" textRotation="90"/>
    </xf>
    <xf numFmtId="0" fontId="5" fillId="9" borderId="8" xfId="0" applyFont="1" applyFill="1" applyBorder="1" applyAlignment="1">
      <alignment horizontal="center" vertical="center" textRotation="90"/>
    </xf>
    <xf numFmtId="0" fontId="5" fillId="9" borderId="9" xfId="0" applyFont="1" applyFill="1" applyBorder="1" applyAlignment="1">
      <alignment horizontal="center" vertical="center" textRotation="90"/>
    </xf>
    <xf numFmtId="14" fontId="5" fillId="8" borderId="10" xfId="0" applyNumberFormat="1" applyFont="1" applyFill="1" applyBorder="1" applyAlignment="1">
      <alignment horizontal="center" vertical="center" textRotation="90"/>
    </xf>
    <xf numFmtId="14" fontId="4" fillId="8" borderId="9" xfId="0" applyNumberFormat="1" applyFont="1" applyFill="1" applyBorder="1" applyAlignment="1">
      <alignment horizontal="center" vertical="center" textRotation="90"/>
    </xf>
    <xf numFmtId="14" fontId="4" fillId="0" borderId="9" xfId="0" applyNumberFormat="1" applyFont="1" applyBorder="1" applyAlignment="1">
      <alignment vertical="center" textRotation="90"/>
    </xf>
    <xf numFmtId="14" fontId="5" fillId="0" borderId="10" xfId="0" applyNumberFormat="1" applyFont="1" applyBorder="1" applyAlignment="1">
      <alignment vertical="center" textRotation="90"/>
    </xf>
    <xf numFmtId="0" fontId="5" fillId="0" borderId="9" xfId="0" applyFont="1" applyBorder="1" applyAlignment="1">
      <alignment vertical="center" textRotation="90"/>
    </xf>
    <xf numFmtId="0" fontId="5" fillId="0" borderId="8" xfId="0" applyFont="1" applyBorder="1" applyAlignment="1">
      <alignment vertical="center" textRotation="90"/>
    </xf>
    <xf numFmtId="0" fontId="4" fillId="0" borderId="8" xfId="0" applyFont="1" applyBorder="1" applyAlignment="1">
      <alignment vertical="center" textRotation="90"/>
    </xf>
    <xf numFmtId="0" fontId="4" fillId="0" borderId="10" xfId="0" applyFont="1" applyBorder="1" applyAlignment="1">
      <alignment vertical="center" textRotation="90"/>
    </xf>
    <xf numFmtId="44" fontId="0" fillId="3" borderId="0" xfId="1" applyFont="1" applyFill="1" applyBorder="1" applyAlignment="1">
      <alignment horizontal="center" vertical="center"/>
    </xf>
    <xf numFmtId="165" fontId="16" fillId="0" borderId="7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49" fontId="6" fillId="0" borderId="7" xfId="10" quotePrefix="1" applyNumberFormat="1" applyFont="1" applyBorder="1" applyAlignment="1">
      <alignment horizontal="left" vertical="top" wrapText="1" shrinkToFit="1"/>
    </xf>
    <xf numFmtId="0" fontId="6" fillId="0" borderId="18" xfId="0" applyFont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9" borderId="7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0" borderId="8" xfId="0" applyFill="1" applyBorder="1" applyAlignment="1">
      <alignment horizontal="center" vertical="center"/>
    </xf>
    <xf numFmtId="0" fontId="4" fillId="14" borderId="10" xfId="0" applyFont="1" applyFill="1" applyBorder="1" applyAlignment="1">
      <alignment horizontal="center" vertical="center" textRotation="90"/>
    </xf>
    <xf numFmtId="0" fontId="4" fillId="14" borderId="16" xfId="0" applyFont="1" applyFill="1" applyBorder="1" applyAlignment="1">
      <alignment horizontal="center" vertical="center" textRotation="90"/>
    </xf>
    <xf numFmtId="0" fontId="11" fillId="2" borderId="12" xfId="0" applyFont="1" applyFill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</cellXfs>
  <cellStyles count="11">
    <cellStyle name="Monétaire" xfId="1" builtinId="4"/>
    <cellStyle name="Monétaire 2" xfId="9" xr:uid="{33A9F3A6-CA19-4450-ABD8-074D8573E55A}"/>
    <cellStyle name="NiveauLigne_4 2" xfId="5" xr:uid="{BB86E1C8-0906-4040-B854-6FEB873E0452}"/>
    <cellStyle name="Normal" xfId="0" builtinId="0"/>
    <cellStyle name="Normal 107" xfId="6" xr:uid="{39844CA0-BAEA-4266-858B-F57674718ED1}"/>
    <cellStyle name="Normal 15" xfId="2" xr:uid="{F10E6A07-8E7E-42CC-991A-D9C2680D584E}"/>
    <cellStyle name="Normal 16" xfId="8" xr:uid="{2F8C73B6-8D0E-4E2C-8EA8-8F9DA47F8861}"/>
    <cellStyle name="Normal 2" xfId="7" xr:uid="{43572BDC-642F-4CBD-9CB3-7CA7F6D26E23}"/>
    <cellStyle name="Normal 2 10 13" xfId="4" xr:uid="{5280D078-5BA3-4FF0-80B9-F2C7AA0DD41E}"/>
    <cellStyle name="Normal 8" xfId="3" xr:uid="{91E66CD8-6129-462A-85E4-2C8E8E44B7C7}"/>
    <cellStyle name="Normal_TGN2001" xfId="10" xr:uid="{52AE413E-7FD8-4183-AAE4-AB892A674D54}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64" formatCode="General\ &quot;hrs&quot;"/>
      <alignment horizontal="center" vertical="center" textRotation="0" wrapText="0" indent="0" justifyLastLine="0" shrinkToFit="0" readingOrder="0"/>
    </dxf>
    <dxf>
      <numFmt numFmtId="164" formatCode="General\ &quot;hrs&quot;"/>
      <alignment horizontal="center" vertical="center" textRotation="0" wrapText="0" indent="0" justifyLastLine="0" shrinkToFit="0" readingOrder="0"/>
    </dxf>
    <dxf>
      <numFmt numFmtId="164" formatCode="General\ &quot;hrs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2BD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reas.Coste\AppData\Local\Microsoft\Olk\Attachments\ooa-f3fc5257-8b99-41e4-b5c2-cae764f892d1\da02a2d91c788f9e8a287440967a66b61b71ada9dbd1997466a2ea9f5ef7c30d\GAMMES%20COMPILEES%20REV%20D.xlsm" TargetMode="External"/><Relationship Id="rId1" Type="http://schemas.openxmlformats.org/officeDocument/2006/relationships/externalLinkPath" Target="file:///C:\Users\Andreas.Coste\AppData\Local\Microsoft\Olk\Attachments\ooa-f3fc5257-8b99-41e4-b5c2-cae764f892d1\da02a2d91c788f9e8a287440967a66b61b71ada9dbd1997466a2ea9f5ef7c30d\GAMMES%20COMPILEES%20REV%20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MENU"/>
      <sheetName val="Liste des OTs"/>
      <sheetName val="OTs"/>
      <sheetName val="Feuil2"/>
      <sheetName val="Matrice STAND-DIM"/>
      <sheetName val="Matrice 2"/>
      <sheetName val="Standards TF"/>
      <sheetName val="Dimensions TF"/>
      <sheetName val="OTs_Extra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B4702</v>
          </cell>
          <cell r="B2" t="str">
            <v>K0, L0</v>
          </cell>
        </row>
        <row r="3">
          <cell r="A3" t="str">
            <v>B30235YLV</v>
          </cell>
          <cell r="B3" t="str">
            <v>K0, L0</v>
          </cell>
        </row>
        <row r="4">
          <cell r="A4" t="str">
            <v>B4701</v>
          </cell>
          <cell r="B4" t="str">
            <v>K0, L0</v>
          </cell>
        </row>
        <row r="5">
          <cell r="A5" t="str">
            <v>B5103</v>
          </cell>
          <cell r="B5" t="str">
            <v>K0, T0</v>
          </cell>
        </row>
        <row r="6">
          <cell r="A6" t="str">
            <v>BLP074</v>
          </cell>
          <cell r="B6" t="str">
            <v>K0</v>
          </cell>
        </row>
        <row r="7">
          <cell r="A7" t="str">
            <v>BLP076</v>
          </cell>
          <cell r="B7" t="str">
            <v>K0</v>
          </cell>
        </row>
        <row r="8">
          <cell r="A8" t="str">
            <v>BLP078</v>
          </cell>
          <cell r="B8" t="str">
            <v>K0</v>
          </cell>
        </row>
        <row r="9">
          <cell r="A9" t="str">
            <v>BLP082</v>
          </cell>
          <cell r="B9" t="str">
            <v>K0</v>
          </cell>
        </row>
        <row r="10">
          <cell r="A10" t="str">
            <v>BLP084</v>
          </cell>
          <cell r="B10" t="str">
            <v>K0</v>
          </cell>
        </row>
        <row r="11">
          <cell r="A11" t="str">
            <v>K39750ALV</v>
          </cell>
          <cell r="B11" t="str">
            <v>K0, L0</v>
          </cell>
        </row>
        <row r="12">
          <cell r="A12" t="str">
            <v>OTG022</v>
          </cell>
          <cell r="B12" t="str">
            <v>N0, L0</v>
          </cell>
        </row>
        <row r="13">
          <cell r="A13" t="str">
            <v>OTG026</v>
          </cell>
          <cell r="B13" t="str">
            <v>L0</v>
          </cell>
        </row>
        <row r="14">
          <cell r="A14" t="str">
            <v>OTG027</v>
          </cell>
          <cell r="B14" t="str">
            <v>L0</v>
          </cell>
        </row>
        <row r="15">
          <cell r="A15" t="str">
            <v>OTG032</v>
          </cell>
          <cell r="B15" t="str">
            <v>H0, K0, L0</v>
          </cell>
        </row>
        <row r="16">
          <cell r="A16" t="str">
            <v>OTG053</v>
          </cell>
          <cell r="B16" t="str">
            <v>H0, K0</v>
          </cell>
        </row>
        <row r="17">
          <cell r="A17" t="str">
            <v>OTG060</v>
          </cell>
          <cell r="B17" t="str">
            <v>H0</v>
          </cell>
        </row>
        <row r="18">
          <cell r="A18" t="str">
            <v>OTG061</v>
          </cell>
          <cell r="B18" t="str">
            <v>K0</v>
          </cell>
        </row>
        <row r="19">
          <cell r="A19" t="str">
            <v>OTG062</v>
          </cell>
          <cell r="B19" t="str">
            <v>H0</v>
          </cell>
        </row>
        <row r="20">
          <cell r="A20" t="str">
            <v>OTG063</v>
          </cell>
          <cell r="B20" t="str">
            <v>K0</v>
          </cell>
        </row>
        <row r="21">
          <cell r="A21" t="str">
            <v>OTG066</v>
          </cell>
          <cell r="B21" t="str">
            <v>T0</v>
          </cell>
        </row>
        <row r="22">
          <cell r="A22" t="str">
            <v>OTG070</v>
          </cell>
          <cell r="B22" t="str">
            <v>T0</v>
          </cell>
        </row>
        <row r="23">
          <cell r="A23" t="str">
            <v>OTG182</v>
          </cell>
          <cell r="B23" t="str">
            <v>H0, K0, L0</v>
          </cell>
        </row>
        <row r="24">
          <cell r="A24" t="str">
            <v>PSVBS0401</v>
          </cell>
          <cell r="B24" t="str">
            <v>K0, L0</v>
          </cell>
        </row>
        <row r="25">
          <cell r="A25" t="str">
            <v>PSVBS0408</v>
          </cell>
          <cell r="B25" t="str">
            <v>L0</v>
          </cell>
        </row>
        <row r="26">
          <cell r="A26" t="str">
            <v>PSVBS0493</v>
          </cell>
          <cell r="B26" t="str">
            <v>L0</v>
          </cell>
        </row>
        <row r="27">
          <cell r="A27" t="str">
            <v>PSVBS0563</v>
          </cell>
          <cell r="B27" t="str">
            <v>L0</v>
          </cell>
        </row>
        <row r="28">
          <cell r="A28" t="str">
            <v>PSVBS0590</v>
          </cell>
          <cell r="B28" t="str">
            <v>K0, L0</v>
          </cell>
        </row>
        <row r="29">
          <cell r="A29" t="str">
            <v>PSVBS6103</v>
          </cell>
          <cell r="B29" t="str">
            <v>K0, L0</v>
          </cell>
        </row>
        <row r="30">
          <cell r="A30" t="str">
            <v>S1075</v>
          </cell>
          <cell r="B30" t="str">
            <v>H0, K0, T0, L0, N0</v>
          </cell>
        </row>
        <row r="31">
          <cell r="A31" t="str">
            <v>S1079</v>
          </cell>
          <cell r="B31" t="str">
            <v>N0, H0, K0, L0</v>
          </cell>
        </row>
        <row r="32">
          <cell r="A32" t="str">
            <v>S1101</v>
          </cell>
          <cell r="B32" t="str">
            <v>H0, K0, N0, L0, T0</v>
          </cell>
        </row>
        <row r="33">
          <cell r="A33" t="str">
            <v>S1121</v>
          </cell>
          <cell r="B33" t="str">
            <v>H0, K0, N0, L0, T0</v>
          </cell>
        </row>
        <row r="34">
          <cell r="A34" t="str">
            <v>S1191</v>
          </cell>
          <cell r="B34" t="str">
            <v>K0, H0, L0, T0</v>
          </cell>
        </row>
        <row r="35">
          <cell r="A35" t="str">
            <v>S1775</v>
          </cell>
          <cell r="B35" t="str">
            <v>H0, K0, T0, L0, N0</v>
          </cell>
        </row>
        <row r="36">
          <cell r="A36" t="str">
            <v>S2000</v>
          </cell>
          <cell r="B36" t="str">
            <v>H0, K0, N0, L0, T0</v>
          </cell>
        </row>
        <row r="37">
          <cell r="A37" t="str">
            <v>S2001</v>
          </cell>
          <cell r="B37" t="str">
            <v>H0, K0, N0, L0</v>
          </cell>
        </row>
        <row r="38">
          <cell r="A38" t="str">
            <v>S2002</v>
          </cell>
          <cell r="B38" t="str">
            <v>H0, K0, N0, L0, T0</v>
          </cell>
        </row>
        <row r="39">
          <cell r="A39" t="str">
            <v>S2003</v>
          </cell>
          <cell r="B39" t="str">
            <v>H0, K0, N0, L0</v>
          </cell>
        </row>
        <row r="40">
          <cell r="A40" t="str">
            <v>S2601</v>
          </cell>
          <cell r="B40" t="str">
            <v>H0, K0, L0, T0</v>
          </cell>
        </row>
        <row r="41">
          <cell r="A41" t="str">
            <v>S2602</v>
          </cell>
          <cell r="B41" t="str">
            <v>H0, K0, L0, N0</v>
          </cell>
        </row>
        <row r="42">
          <cell r="A42" t="str">
            <v>S2611</v>
          </cell>
          <cell r="B42" t="str">
            <v>H0, K0, L0, T0</v>
          </cell>
        </row>
        <row r="43">
          <cell r="A43" t="str">
            <v>S2706</v>
          </cell>
          <cell r="B43" t="str">
            <v>H0, K0, N0, L0, T0</v>
          </cell>
        </row>
        <row r="44">
          <cell r="A44" t="str">
            <v>S2708</v>
          </cell>
          <cell r="B44" t="str">
            <v>H0, K0, N0, L0, T0</v>
          </cell>
        </row>
        <row r="45">
          <cell r="A45" t="str">
            <v>S27080</v>
          </cell>
          <cell r="B45" t="str">
            <v>H0, K0, L0</v>
          </cell>
        </row>
        <row r="46">
          <cell r="A46" t="str">
            <v>S2709</v>
          </cell>
          <cell r="B46" t="str">
            <v>H0, K0, N0, L0</v>
          </cell>
        </row>
        <row r="47">
          <cell r="A47" t="str">
            <v>S2712</v>
          </cell>
          <cell r="B47" t="str">
            <v>L0, N0</v>
          </cell>
        </row>
        <row r="48">
          <cell r="A48" t="str">
            <v>S2727</v>
          </cell>
          <cell r="B48" t="str">
            <v>L0</v>
          </cell>
        </row>
        <row r="49">
          <cell r="A49" t="str">
            <v>S2731BPV</v>
          </cell>
          <cell r="B49" t="str">
            <v>K0, L0</v>
          </cell>
        </row>
        <row r="50">
          <cell r="A50" t="str">
            <v>S3001</v>
          </cell>
          <cell r="B50" t="str">
            <v>H0, L0, N0, T0</v>
          </cell>
        </row>
        <row r="51">
          <cell r="A51" t="str">
            <v>S3005</v>
          </cell>
          <cell r="B51" t="str">
            <v>K0, H0, L0, N0, T0</v>
          </cell>
        </row>
        <row r="52">
          <cell r="A52" t="str">
            <v>S3007</v>
          </cell>
          <cell r="B52" t="str">
            <v>H0, L0, N0, T0</v>
          </cell>
        </row>
        <row r="53">
          <cell r="A53" t="str">
            <v>S3021</v>
          </cell>
          <cell r="B53" t="str">
            <v>H0, L0, N0, T0</v>
          </cell>
        </row>
        <row r="54">
          <cell r="A54" t="str">
            <v>S3022</v>
          </cell>
          <cell r="B54" t="str">
            <v>H0, K0, L0, N0</v>
          </cell>
        </row>
        <row r="55">
          <cell r="A55" t="str">
            <v>S4250V</v>
          </cell>
          <cell r="B55" t="str">
            <v>H0, K0, L0</v>
          </cell>
        </row>
        <row r="56">
          <cell r="A56" t="str">
            <v>S43110</v>
          </cell>
          <cell r="B56" t="str">
            <v>K0, L0</v>
          </cell>
        </row>
        <row r="57">
          <cell r="A57" t="str">
            <v>S43120</v>
          </cell>
          <cell r="B57" t="str">
            <v>K0, L0</v>
          </cell>
        </row>
        <row r="58">
          <cell r="A58" t="str">
            <v>S43130</v>
          </cell>
          <cell r="B58" t="str">
            <v>H0, L0</v>
          </cell>
        </row>
        <row r="59">
          <cell r="A59" t="str">
            <v>S43400</v>
          </cell>
          <cell r="B59" t="str">
            <v>L0</v>
          </cell>
        </row>
        <row r="60">
          <cell r="A60" t="str">
            <v>S44110</v>
          </cell>
          <cell r="B60" t="str">
            <v>K0, L0</v>
          </cell>
        </row>
        <row r="61">
          <cell r="A61" t="str">
            <v>S45110</v>
          </cell>
          <cell r="B61" t="str">
            <v>K0, L0</v>
          </cell>
        </row>
        <row r="62">
          <cell r="A62" t="str">
            <v>S46110</v>
          </cell>
          <cell r="B62" t="str">
            <v>K0, L0</v>
          </cell>
        </row>
        <row r="63">
          <cell r="A63" t="str">
            <v>S47000</v>
          </cell>
          <cell r="B63" t="str">
            <v>K0, L0</v>
          </cell>
        </row>
        <row r="64">
          <cell r="A64" t="str">
            <v>S47040</v>
          </cell>
          <cell r="B64" t="str">
            <v>K0, L0</v>
          </cell>
        </row>
        <row r="65">
          <cell r="A65" t="str">
            <v>S47050</v>
          </cell>
          <cell r="B65" t="str">
            <v>K0, L0</v>
          </cell>
        </row>
        <row r="66">
          <cell r="A66" t="str">
            <v>S47090</v>
          </cell>
          <cell r="B66" t="str">
            <v>K0, L0</v>
          </cell>
        </row>
        <row r="67">
          <cell r="A67" t="str">
            <v>S47250</v>
          </cell>
          <cell r="B67" t="str">
            <v>K0, L0</v>
          </cell>
        </row>
        <row r="68">
          <cell r="A68" t="str">
            <v>S47260</v>
          </cell>
          <cell r="B68" t="str">
            <v>K0, L0</v>
          </cell>
        </row>
        <row r="69">
          <cell r="A69" t="str">
            <v>S48090A</v>
          </cell>
          <cell r="B69" t="str">
            <v>K0, L0</v>
          </cell>
        </row>
        <row r="70">
          <cell r="A70" t="str">
            <v>S4810HSV</v>
          </cell>
          <cell r="B70" t="str">
            <v>K0, L0</v>
          </cell>
        </row>
        <row r="71">
          <cell r="A71" t="str">
            <v>S4811HSV</v>
          </cell>
          <cell r="B71" t="str">
            <v>K0, L0</v>
          </cell>
        </row>
        <row r="72">
          <cell r="A72" t="str">
            <v>S4812HSV</v>
          </cell>
          <cell r="B72" t="str">
            <v>K0, L0</v>
          </cell>
        </row>
        <row r="73">
          <cell r="A73" t="str">
            <v>S48170SFV</v>
          </cell>
          <cell r="B73" t="str">
            <v>K0, L0</v>
          </cell>
        </row>
        <row r="74">
          <cell r="A74" t="str">
            <v>S48201LV</v>
          </cell>
          <cell r="B74" t="str">
            <v>K0, L0</v>
          </cell>
        </row>
        <row r="75">
          <cell r="A75" t="str">
            <v>S48211LV</v>
          </cell>
          <cell r="B75" t="str">
            <v>L0</v>
          </cell>
        </row>
        <row r="76">
          <cell r="A76" t="str">
            <v>S5101</v>
          </cell>
          <cell r="B76" t="str">
            <v>K0, L0</v>
          </cell>
        </row>
        <row r="77">
          <cell r="A77" t="str">
            <v>S5110</v>
          </cell>
          <cell r="B77" t="str">
            <v>K0, N0</v>
          </cell>
        </row>
        <row r="78">
          <cell r="A78" t="str">
            <v>S5201</v>
          </cell>
          <cell r="B78" t="str">
            <v>K0, L0</v>
          </cell>
        </row>
        <row r="79">
          <cell r="A79" t="str">
            <v>SLP080</v>
          </cell>
          <cell r="B79" t="str">
            <v>K0, T0</v>
          </cell>
        </row>
        <row r="80">
          <cell r="A80" t="str">
            <v>SLP091</v>
          </cell>
          <cell r="B80" t="str">
            <v>H0, K0</v>
          </cell>
        </row>
        <row r="81">
          <cell r="A81" t="str">
            <v>SLP092</v>
          </cell>
          <cell r="B81" t="str">
            <v>H0, K0, L0</v>
          </cell>
        </row>
        <row r="82">
          <cell r="A82" t="str">
            <v>SLP102</v>
          </cell>
          <cell r="B82" t="str">
            <v>K0</v>
          </cell>
        </row>
        <row r="83">
          <cell r="A83" t="str">
            <v>SLP103</v>
          </cell>
          <cell r="B83" t="str">
            <v>K0</v>
          </cell>
        </row>
        <row r="84">
          <cell r="A84" t="str">
            <v>SLP113</v>
          </cell>
          <cell r="B84" t="str">
            <v>K0</v>
          </cell>
        </row>
        <row r="85">
          <cell r="A85" t="str">
            <v>SLP129</v>
          </cell>
          <cell r="B85" t="str">
            <v>H0, K0</v>
          </cell>
        </row>
        <row r="86">
          <cell r="A86" t="str">
            <v>SLP153</v>
          </cell>
          <cell r="B86" t="str">
            <v>H0, L0</v>
          </cell>
        </row>
        <row r="87">
          <cell r="A87" t="str">
            <v>SLU170</v>
          </cell>
          <cell r="B87" t="str">
            <v>H0, K0, L0</v>
          </cell>
        </row>
        <row r="88">
          <cell r="A88" t="str">
            <v>SRP001</v>
          </cell>
          <cell r="B88" t="str">
            <v>K0, T0, L0</v>
          </cell>
        </row>
        <row r="89">
          <cell r="A89" t="str">
            <v>SRP012</v>
          </cell>
          <cell r="B89" t="str">
            <v>H0, L0</v>
          </cell>
        </row>
        <row r="90">
          <cell r="A90" t="str">
            <v>SRU164</v>
          </cell>
          <cell r="B90" t="str">
            <v>K0, L0, T0</v>
          </cell>
        </row>
        <row r="91">
          <cell r="A91" t="str">
            <v>SRU165</v>
          </cell>
          <cell r="B91" t="str">
            <v>H0, K0, T0</v>
          </cell>
        </row>
        <row r="92">
          <cell r="A92" t="str">
            <v>SRU166</v>
          </cell>
          <cell r="B92" t="str">
            <v>H0, K0, T0</v>
          </cell>
        </row>
        <row r="93">
          <cell r="A93" t="str">
            <v>SRU167</v>
          </cell>
          <cell r="B93" t="str">
            <v>H0, K0, T0</v>
          </cell>
        </row>
        <row r="94">
          <cell r="A94" t="str">
            <v>SRU178</v>
          </cell>
          <cell r="B94" t="str">
            <v>K0, T0</v>
          </cell>
        </row>
        <row r="95">
          <cell r="A95" t="str">
            <v>SRU193</v>
          </cell>
          <cell r="B95" t="str">
            <v>K0, T0</v>
          </cell>
        </row>
        <row r="96">
          <cell r="A96" t="str">
            <v>SRU194</v>
          </cell>
          <cell r="B96" t="str">
            <v>K0, T0</v>
          </cell>
        </row>
        <row r="97">
          <cell r="A97" t="str">
            <v>SRU195</v>
          </cell>
          <cell r="B97" t="str">
            <v>K0, T0</v>
          </cell>
        </row>
        <row r="98">
          <cell r="A98" t="str">
            <v>SRU196</v>
          </cell>
          <cell r="B98" t="str">
            <v>K0, L0</v>
          </cell>
        </row>
        <row r="99">
          <cell r="A99" t="str">
            <v>SRU204</v>
          </cell>
          <cell r="B99" t="str">
            <v>H0, K0, L0, T0</v>
          </cell>
        </row>
        <row r="100">
          <cell r="A100" t="str">
            <v>STP198</v>
          </cell>
          <cell r="B100" t="str">
            <v>H0, L0</v>
          </cell>
        </row>
        <row r="101">
          <cell r="A101" t="str">
            <v>STU156</v>
          </cell>
          <cell r="B101" t="str">
            <v>H0, K0, T0</v>
          </cell>
        </row>
        <row r="102">
          <cell r="A102" t="str">
            <v>STU169</v>
          </cell>
          <cell r="B102" t="str">
            <v>H0, K0, T0, L0</v>
          </cell>
        </row>
        <row r="103">
          <cell r="A103" t="str">
            <v>STU171</v>
          </cell>
          <cell r="B103" t="str">
            <v>H0, K0, T0</v>
          </cell>
        </row>
        <row r="104">
          <cell r="A104" t="str">
            <v>STU172</v>
          </cell>
          <cell r="B104" t="str">
            <v>H0, K0, T0</v>
          </cell>
        </row>
        <row r="105">
          <cell r="A105" t="str">
            <v>STU185</v>
          </cell>
          <cell r="B105" t="str">
            <v>H0, L0, T0, N0</v>
          </cell>
        </row>
        <row r="106">
          <cell r="A106" t="str">
            <v>T1063</v>
          </cell>
          <cell r="B106" t="str">
            <v>K0, T0, L0, H0</v>
          </cell>
        </row>
        <row r="107">
          <cell r="A107" t="str">
            <v>T5162</v>
          </cell>
          <cell r="B107" t="str">
            <v>L0</v>
          </cell>
        </row>
        <row r="108">
          <cell r="A108" t="str">
            <v>TRP189</v>
          </cell>
          <cell r="B108" t="str">
            <v>H0, K0, L0</v>
          </cell>
        </row>
        <row r="109">
          <cell r="A109" t="str">
            <v>K39750BLV</v>
          </cell>
          <cell r="B109" t="str">
            <v>K0, L0</v>
          </cell>
        </row>
        <row r="110">
          <cell r="A110" t="str">
            <v>OTG013</v>
          </cell>
          <cell r="B110" t="str">
            <v>N0</v>
          </cell>
        </row>
        <row r="111">
          <cell r="A111" t="str">
            <v>OTG019</v>
          </cell>
          <cell r="B111" t="str">
            <v>N0, L0</v>
          </cell>
        </row>
        <row r="112">
          <cell r="A112" t="str">
            <v>OTG020</v>
          </cell>
          <cell r="B112" t="str">
            <v>H0, N0</v>
          </cell>
        </row>
        <row r="113">
          <cell r="A113" t="str">
            <v>OTG021</v>
          </cell>
          <cell r="B113" t="str">
            <v>N0, L0</v>
          </cell>
        </row>
        <row r="114">
          <cell r="A114" t="str">
            <v>OTG023</v>
          </cell>
          <cell r="B114" t="str">
            <v>L0</v>
          </cell>
        </row>
        <row r="115">
          <cell r="A115" t="str">
            <v>OTG024</v>
          </cell>
          <cell r="B115" t="str">
            <v>L0</v>
          </cell>
        </row>
        <row r="116">
          <cell r="A116" t="str">
            <v>OTG025</v>
          </cell>
          <cell r="B116" t="str">
            <v>L0</v>
          </cell>
        </row>
        <row r="117">
          <cell r="A117" t="str">
            <v>OTG028</v>
          </cell>
          <cell r="B117" t="str">
            <v>L0</v>
          </cell>
        </row>
        <row r="118">
          <cell r="A118" t="str">
            <v>OTG029</v>
          </cell>
          <cell r="B118" t="str">
            <v>L0</v>
          </cell>
        </row>
        <row r="119">
          <cell r="A119" t="str">
            <v>OTG030</v>
          </cell>
          <cell r="B119" t="str">
            <v>H0, K0, L0</v>
          </cell>
        </row>
        <row r="120">
          <cell r="A120" t="str">
            <v>OTG031</v>
          </cell>
          <cell r="B120" t="str">
            <v>H0, K0, L0</v>
          </cell>
        </row>
        <row r="121">
          <cell r="A121" t="str">
            <v>OTG052</v>
          </cell>
          <cell r="B121" t="str">
            <v>K0</v>
          </cell>
        </row>
        <row r="122">
          <cell r="A122" t="str">
            <v>OTG054</v>
          </cell>
          <cell r="B122" t="str">
            <v>H0, K0, T0</v>
          </cell>
        </row>
        <row r="123">
          <cell r="A123" t="str">
            <v>OTG055</v>
          </cell>
          <cell r="B123" t="str">
            <v>H0, K0</v>
          </cell>
        </row>
        <row r="124">
          <cell r="A124" t="str">
            <v>OTG056</v>
          </cell>
          <cell r="B124" t="str">
            <v>K0</v>
          </cell>
        </row>
        <row r="125">
          <cell r="A125" t="str">
            <v>OTG057</v>
          </cell>
          <cell r="B125" t="str">
            <v>H0, K0</v>
          </cell>
        </row>
        <row r="126">
          <cell r="A126" t="str">
            <v>OTG058</v>
          </cell>
          <cell r="B126" t="str">
            <v>H0</v>
          </cell>
        </row>
        <row r="127">
          <cell r="A127" t="str">
            <v>OTG059</v>
          </cell>
          <cell r="B127" t="str">
            <v>K0</v>
          </cell>
        </row>
        <row r="128">
          <cell r="A128" t="str">
            <v>OTG177</v>
          </cell>
          <cell r="B128" t="str">
            <v>H0, K0, T0</v>
          </cell>
        </row>
        <row r="129">
          <cell r="A129" t="str">
            <v>PSVBS464</v>
          </cell>
          <cell r="B129" t="str">
            <v>L0</v>
          </cell>
        </row>
        <row r="130">
          <cell r="A130" t="str">
            <v>PSVBS471</v>
          </cell>
          <cell r="B130" t="str">
            <v>L0</v>
          </cell>
        </row>
        <row r="131">
          <cell r="A131" t="str">
            <v>PSVBS473</v>
          </cell>
          <cell r="B131" t="str">
            <v>L0</v>
          </cell>
        </row>
        <row r="132">
          <cell r="A132" t="str">
            <v>PSVBS474</v>
          </cell>
          <cell r="B132" t="str">
            <v>H0, L0</v>
          </cell>
        </row>
        <row r="133">
          <cell r="A133" t="str">
            <v>PSVBS475</v>
          </cell>
          <cell r="B133" t="str">
            <v>L0</v>
          </cell>
        </row>
        <row r="134">
          <cell r="A134" t="str">
            <v>PSVBS507</v>
          </cell>
          <cell r="B134" t="str">
            <v>L0</v>
          </cell>
        </row>
        <row r="135">
          <cell r="A135" t="str">
            <v>PSVBS530</v>
          </cell>
          <cell r="B135" t="str">
            <v>H0, L0</v>
          </cell>
        </row>
        <row r="136">
          <cell r="A136" t="str">
            <v>PSVBS594</v>
          </cell>
          <cell r="B136" t="str">
            <v>H0, L0</v>
          </cell>
        </row>
        <row r="137">
          <cell r="A137" t="str">
            <v>PSVBT0762</v>
          </cell>
          <cell r="B137" t="str">
            <v>H0, K0, T0, L0</v>
          </cell>
        </row>
        <row r="138">
          <cell r="A138" t="str">
            <v>PSVBT-798</v>
          </cell>
          <cell r="B138" t="str">
            <v>H0, K0, T0, L0</v>
          </cell>
        </row>
        <row r="139">
          <cell r="A139" t="str">
            <v>S1128</v>
          </cell>
          <cell r="B139" t="str">
            <v>H0, K0, L0, N0, T0</v>
          </cell>
        </row>
        <row r="140">
          <cell r="A140" t="str">
            <v>S1161</v>
          </cell>
          <cell r="B140" t="str">
            <v>H0, K0, N0, L0, T0</v>
          </cell>
        </row>
        <row r="141">
          <cell r="A141" t="str">
            <v>S1621</v>
          </cell>
          <cell r="B141" t="str">
            <v>H0, K0, N0, L0</v>
          </cell>
        </row>
        <row r="142">
          <cell r="A142" t="str">
            <v>S2020</v>
          </cell>
          <cell r="B142" t="str">
            <v>H0, K0, L0, N0, T0</v>
          </cell>
        </row>
        <row r="143">
          <cell r="A143" t="str">
            <v>S2021</v>
          </cell>
          <cell r="B143" t="str">
            <v>H0, K0, L0, N0, T0</v>
          </cell>
        </row>
        <row r="144">
          <cell r="A144" t="str">
            <v>S2022</v>
          </cell>
          <cell r="B144" t="str">
            <v>H0, K0, L0, N0, T0</v>
          </cell>
        </row>
        <row r="145">
          <cell r="A145" t="str">
            <v>S2221</v>
          </cell>
          <cell r="B145" t="str">
            <v>K0, L0, N0, H0</v>
          </cell>
        </row>
        <row r="146">
          <cell r="A146" t="str">
            <v>S2720</v>
          </cell>
          <cell r="B146" t="str">
            <v>H0, K0, N0, L0</v>
          </cell>
        </row>
        <row r="147">
          <cell r="A147" t="str">
            <v>S2722</v>
          </cell>
          <cell r="B147" t="str">
            <v>H0, L0</v>
          </cell>
        </row>
        <row r="148">
          <cell r="A148" t="str">
            <v>S2730</v>
          </cell>
          <cell r="B148" t="str">
            <v>K0, H0, N0, L0</v>
          </cell>
        </row>
        <row r="149">
          <cell r="A149" t="str">
            <v>S2751</v>
          </cell>
          <cell r="B149" t="str">
            <v>N0, K0, L0</v>
          </cell>
        </row>
        <row r="150">
          <cell r="A150" t="str">
            <v>S2787</v>
          </cell>
          <cell r="B150" t="str">
            <v>L0, N0</v>
          </cell>
        </row>
        <row r="151">
          <cell r="A151" t="str">
            <v>S2788</v>
          </cell>
          <cell r="B151" t="str">
            <v>L0, N0</v>
          </cell>
        </row>
        <row r="152">
          <cell r="A152" t="str">
            <v>S3051</v>
          </cell>
          <cell r="B152" t="str">
            <v>H0, L0, N0, T0</v>
          </cell>
        </row>
        <row r="153">
          <cell r="A153" t="str">
            <v>S3052</v>
          </cell>
          <cell r="B153" t="str">
            <v>H0, L0, N0, T0</v>
          </cell>
        </row>
        <row r="154">
          <cell r="A154" t="str">
            <v>S3085</v>
          </cell>
          <cell r="B154" t="str">
            <v>H0, L0, N0, T0</v>
          </cell>
        </row>
        <row r="155">
          <cell r="A155" t="str">
            <v>S4030BPV</v>
          </cell>
          <cell r="B155" t="str">
            <v>L0</v>
          </cell>
        </row>
        <row r="156">
          <cell r="A156" t="str">
            <v>S42320APV</v>
          </cell>
          <cell r="B156" t="str">
            <v>L0</v>
          </cell>
        </row>
        <row r="157">
          <cell r="A157" t="str">
            <v>S4232BPV</v>
          </cell>
          <cell r="B157" t="str">
            <v>L0</v>
          </cell>
        </row>
        <row r="158">
          <cell r="A158" t="str">
            <v>S4814HSV</v>
          </cell>
          <cell r="B158" t="str">
            <v>K0, L0</v>
          </cell>
        </row>
        <row r="159">
          <cell r="A159" t="str">
            <v>S4818V</v>
          </cell>
          <cell r="B159" t="str">
            <v>K0, L0</v>
          </cell>
        </row>
        <row r="160">
          <cell r="A160" t="str">
            <v>S50190FV</v>
          </cell>
          <cell r="B160" t="str">
            <v>K0, L0</v>
          </cell>
        </row>
        <row r="161">
          <cell r="A161" t="str">
            <v>S5025SV</v>
          </cell>
          <cell r="B161" t="str">
            <v>K0, L0</v>
          </cell>
        </row>
        <row r="162">
          <cell r="A162" t="str">
            <v>S5061</v>
          </cell>
          <cell r="B162" t="str">
            <v>H0, K0, L0</v>
          </cell>
        </row>
        <row r="163">
          <cell r="A163" t="str">
            <v>S5063</v>
          </cell>
          <cell r="B163" t="str">
            <v>H0, N0, K0, L0, T0</v>
          </cell>
        </row>
        <row r="164">
          <cell r="A164" t="str">
            <v>S5120</v>
          </cell>
          <cell r="B164" t="str">
            <v>H0, N0</v>
          </cell>
        </row>
        <row r="165">
          <cell r="A165" t="str">
            <v>S5221</v>
          </cell>
          <cell r="B165" t="str">
            <v>H0, L0, N0</v>
          </cell>
        </row>
        <row r="166">
          <cell r="A166" t="str">
            <v>S5285</v>
          </cell>
          <cell r="B166" t="str">
            <v>K0</v>
          </cell>
        </row>
        <row r="167">
          <cell r="A167" t="str">
            <v>S54020FV</v>
          </cell>
          <cell r="B167" t="str">
            <v>K0, L0</v>
          </cell>
        </row>
        <row r="168">
          <cell r="A168" t="str">
            <v>S54090FV</v>
          </cell>
          <cell r="B168" t="str">
            <v>K0, L0</v>
          </cell>
        </row>
        <row r="169">
          <cell r="A169" t="str">
            <v>S54116FV</v>
          </cell>
          <cell r="B169" t="str">
            <v>K0, L0</v>
          </cell>
        </row>
        <row r="170">
          <cell r="A170" t="str">
            <v>S5411-V</v>
          </cell>
          <cell r="B170" t="str">
            <v>L0</v>
          </cell>
        </row>
        <row r="171">
          <cell r="A171" t="str">
            <v>S54126FV</v>
          </cell>
          <cell r="B171" t="str">
            <v>K0, L0</v>
          </cell>
        </row>
        <row r="172">
          <cell r="A172" t="str">
            <v>S5421HSV</v>
          </cell>
          <cell r="B172" t="str">
            <v>L0</v>
          </cell>
        </row>
        <row r="173">
          <cell r="A173" t="str">
            <v>S54240LV</v>
          </cell>
          <cell r="B173" t="str">
            <v>L0</v>
          </cell>
        </row>
        <row r="174">
          <cell r="A174" t="str">
            <v>S54250LV</v>
          </cell>
          <cell r="B174" t="str">
            <v>H0, L0</v>
          </cell>
        </row>
        <row r="175">
          <cell r="A175" t="str">
            <v>S54400TV</v>
          </cell>
          <cell r="B175" t="str">
            <v>H0, L0</v>
          </cell>
        </row>
        <row r="176">
          <cell r="A176" t="str">
            <v>S5500HSV</v>
          </cell>
          <cell r="B176" t="str">
            <v>K0, L0</v>
          </cell>
        </row>
        <row r="177">
          <cell r="A177" t="str">
            <v>S5510HSV</v>
          </cell>
          <cell r="B177" t="str">
            <v>K0, L0</v>
          </cell>
        </row>
        <row r="178">
          <cell r="A178" t="str">
            <v>S55140FV</v>
          </cell>
          <cell r="B178" t="str">
            <v>K0, L0</v>
          </cell>
        </row>
        <row r="179">
          <cell r="A179" t="str">
            <v>S55150FV</v>
          </cell>
          <cell r="B179" t="str">
            <v>K0, L0</v>
          </cell>
        </row>
        <row r="180">
          <cell r="A180" t="str">
            <v>S55191FV</v>
          </cell>
          <cell r="B180" t="str">
            <v>K0, L0</v>
          </cell>
        </row>
        <row r="181">
          <cell r="A181" t="str">
            <v>S5520HSV</v>
          </cell>
          <cell r="B181" t="str">
            <v>K0, L0</v>
          </cell>
        </row>
        <row r="182">
          <cell r="A182" t="str">
            <v>S55340BPV</v>
          </cell>
          <cell r="B182" t="str">
            <v>K0, L0</v>
          </cell>
        </row>
        <row r="183">
          <cell r="A183" t="str">
            <v>S61090FV</v>
          </cell>
          <cell r="B183" t="str">
            <v>K0, L0</v>
          </cell>
        </row>
        <row r="184">
          <cell r="A184" t="str">
            <v>S61240LV</v>
          </cell>
          <cell r="B184" t="str">
            <v>K0, L0</v>
          </cell>
        </row>
        <row r="185">
          <cell r="A185" t="str">
            <v>S6140ASTV</v>
          </cell>
          <cell r="B185" t="str">
            <v>K0, L0</v>
          </cell>
        </row>
        <row r="186">
          <cell r="A186" t="str">
            <v>S7562</v>
          </cell>
          <cell r="B186" t="str">
            <v>H0, K0, N0, L0</v>
          </cell>
        </row>
        <row r="187">
          <cell r="A187" t="str">
            <v>SLP138</v>
          </cell>
          <cell r="B187" t="str">
            <v>K0</v>
          </cell>
        </row>
        <row r="188">
          <cell r="A188" t="str">
            <v>SRP003</v>
          </cell>
          <cell r="B188" t="str">
            <v>K0, T0, L0</v>
          </cell>
        </row>
        <row r="189">
          <cell r="A189" t="str">
            <v>SRP004</v>
          </cell>
          <cell r="B189" t="str">
            <v>K0, T0, L0</v>
          </cell>
        </row>
        <row r="190">
          <cell r="A190" t="str">
            <v>STP205</v>
          </cell>
          <cell r="B190" t="str">
            <v>H0, L0, K0</v>
          </cell>
        </row>
        <row r="191">
          <cell r="A191" t="str">
            <v>STP207</v>
          </cell>
          <cell r="B191" t="str">
            <v>H0, K0, L0, N0, T0</v>
          </cell>
        </row>
        <row r="192">
          <cell r="A192" t="str">
            <v>STP208</v>
          </cell>
          <cell r="B192" t="str">
            <v>H0, K0, L0, N0, T0</v>
          </cell>
        </row>
        <row r="193">
          <cell r="A193" t="str">
            <v>T1060</v>
          </cell>
          <cell r="B193" t="str">
            <v>H0, K0, L0, N0</v>
          </cell>
        </row>
        <row r="194">
          <cell r="A194" t="str">
            <v>T2752</v>
          </cell>
          <cell r="B194" t="str">
            <v>H0, N0, K0, L0</v>
          </cell>
        </row>
        <row r="195">
          <cell r="A195" t="str">
            <v>T5388</v>
          </cell>
          <cell r="B195" t="str">
            <v>K0</v>
          </cell>
        </row>
        <row r="196">
          <cell r="A196" t="str">
            <v>OTG045</v>
          </cell>
          <cell r="B196" t="str">
            <v>L0</v>
          </cell>
        </row>
        <row r="197">
          <cell r="A197" t="str">
            <v>OTG068</v>
          </cell>
          <cell r="B197" t="str">
            <v>T0</v>
          </cell>
        </row>
        <row r="198">
          <cell r="A198" t="str">
            <v>S40370PV</v>
          </cell>
          <cell r="B198" t="str">
            <v>L0</v>
          </cell>
        </row>
        <row r="199">
          <cell r="A199" t="str">
            <v>T1001</v>
          </cell>
          <cell r="B199" t="str">
            <v>H0, L0, T0</v>
          </cell>
        </row>
        <row r="200">
          <cell r="A200" t="str">
            <v>T1002</v>
          </cell>
          <cell r="B200" t="str">
            <v>H0, L0, T0</v>
          </cell>
        </row>
        <row r="201">
          <cell r="A201" t="str">
            <v>T2761</v>
          </cell>
          <cell r="B201" t="str">
            <v>H0, K0, L0, N0</v>
          </cell>
        </row>
        <row r="202">
          <cell r="A202" t="str">
            <v>PSVBT796</v>
          </cell>
          <cell r="B202" t="str">
            <v>K0, T0, L0</v>
          </cell>
        </row>
        <row r="203">
          <cell r="A203" t="str">
            <v>PSVBT797</v>
          </cell>
          <cell r="B203" t="str">
            <v>H0, K0, T0, L0</v>
          </cell>
        </row>
        <row r="204">
          <cell r="A204" t="str">
            <v>PSVBT856</v>
          </cell>
          <cell r="B204" t="str">
            <v>K0, T0, L0</v>
          </cell>
        </row>
        <row r="205">
          <cell r="A205" t="str">
            <v>PSVBT857</v>
          </cell>
          <cell r="B205" t="str">
            <v>K0, T0, L0</v>
          </cell>
        </row>
        <row r="206">
          <cell r="A206" t="str">
            <v>PSVBT900</v>
          </cell>
          <cell r="B206" t="str">
            <v>K0, T0, L0</v>
          </cell>
        </row>
        <row r="207">
          <cell r="A207" t="str">
            <v>PSVBT901</v>
          </cell>
          <cell r="B207" t="str">
            <v>K0, T0, L0</v>
          </cell>
        </row>
        <row r="208">
          <cell r="A208" t="str">
            <v>T1045</v>
          </cell>
          <cell r="B208" t="str">
            <v>H0, L0, T0</v>
          </cell>
        </row>
        <row r="209">
          <cell r="A209" t="str">
            <v>T2756</v>
          </cell>
          <cell r="B209" t="str">
            <v>H0, N0, K0, L0, T0</v>
          </cell>
        </row>
        <row r="210">
          <cell r="A210" t="str">
            <v>T2783</v>
          </cell>
          <cell r="B210" t="str">
            <v>K0, T0, L0, N0</v>
          </cell>
        </row>
        <row r="211">
          <cell r="A211" t="str">
            <v>T4014</v>
          </cell>
          <cell r="B211" t="str">
            <v>K0, H0, L0, T0</v>
          </cell>
        </row>
        <row r="212">
          <cell r="A212" t="str">
            <v>T5389</v>
          </cell>
          <cell r="B212" t="str">
            <v>H0, K0, L0</v>
          </cell>
        </row>
        <row r="213">
          <cell r="A213" t="str">
            <v>TTU158</v>
          </cell>
          <cell r="B213" t="str">
            <v>H0, K0, L0, T0</v>
          </cell>
        </row>
        <row r="214">
          <cell r="A214" t="str">
            <v>TTU168</v>
          </cell>
          <cell r="B214" t="str">
            <v>K0, T0</v>
          </cell>
        </row>
        <row r="215">
          <cell r="A215" t="str">
            <v>T1016</v>
          </cell>
          <cell r="B215" t="str">
            <v>H0, K0, L0, T0</v>
          </cell>
        </row>
        <row r="216">
          <cell r="A216" t="str">
            <v>T1025-02</v>
          </cell>
          <cell r="B216" t="str">
            <v>L0, T0, N0</v>
          </cell>
        </row>
        <row r="217">
          <cell r="A217" t="str">
            <v>T1025-03</v>
          </cell>
          <cell r="B217" t="str">
            <v>L0</v>
          </cell>
        </row>
        <row r="218">
          <cell r="A218" t="str">
            <v>T1025-04</v>
          </cell>
          <cell r="B218" t="str">
            <v>L0, T0, N0</v>
          </cell>
        </row>
        <row r="219">
          <cell r="A219" t="str">
            <v>T1025-5AB</v>
          </cell>
          <cell r="B219" t="str">
            <v>L0, T0, N0</v>
          </cell>
        </row>
        <row r="220">
          <cell r="A220" t="str">
            <v>T1025-06</v>
          </cell>
          <cell r="B220" t="str">
            <v>L0, T0, N0</v>
          </cell>
        </row>
        <row r="221">
          <cell r="A221" t="str">
            <v>T1025-09</v>
          </cell>
          <cell r="B221" t="str">
            <v>L0</v>
          </cell>
        </row>
        <row r="222">
          <cell r="A222" t="str">
            <v>T1025-10</v>
          </cell>
          <cell r="B222" t="str">
            <v>L0</v>
          </cell>
        </row>
        <row r="223">
          <cell r="A223" t="str">
            <v>T1025-15</v>
          </cell>
          <cell r="B223" t="str">
            <v>L0, T0</v>
          </cell>
        </row>
        <row r="224">
          <cell r="A224" t="str">
            <v>T1078</v>
          </cell>
          <cell r="B224" t="str">
            <v>H0, K0, N0, L0</v>
          </cell>
        </row>
        <row r="225">
          <cell r="A225" t="str">
            <v>T5471</v>
          </cell>
          <cell r="B225" t="str">
            <v>K0, L0</v>
          </cell>
        </row>
        <row r="226">
          <cell r="A226" t="str">
            <v>T5472</v>
          </cell>
          <cell r="B226" t="str">
            <v>K0</v>
          </cell>
        </row>
        <row r="227">
          <cell r="A227" t="str">
            <v>T5475</v>
          </cell>
          <cell r="B227" t="str">
            <v>K0</v>
          </cell>
        </row>
        <row r="228">
          <cell r="A228" t="str">
            <v>T5477</v>
          </cell>
          <cell r="B228" t="str">
            <v>K0</v>
          </cell>
        </row>
        <row r="229">
          <cell r="A229" t="str">
            <v>B1001-V</v>
          </cell>
          <cell r="B229" t="str">
            <v>K0, L0</v>
          </cell>
        </row>
        <row r="230">
          <cell r="A230" t="str">
            <v>B1008HSV</v>
          </cell>
          <cell r="B230" t="str">
            <v>K0, L0</v>
          </cell>
        </row>
        <row r="231">
          <cell r="A231" t="str">
            <v>B2008-V</v>
          </cell>
          <cell r="B231" t="str">
            <v>K0, L0</v>
          </cell>
        </row>
        <row r="232">
          <cell r="A232" t="str">
            <v>B2090-V</v>
          </cell>
          <cell r="B232" t="str">
            <v>L0</v>
          </cell>
        </row>
        <row r="233">
          <cell r="A233" t="str">
            <v>B25400TV</v>
          </cell>
          <cell r="B233" t="str">
            <v>L0</v>
          </cell>
        </row>
        <row r="234">
          <cell r="A234" t="str">
            <v>B7410</v>
          </cell>
          <cell r="B234" t="str">
            <v>H0, L0</v>
          </cell>
        </row>
        <row r="235">
          <cell r="A235" t="str">
            <v>BLP087</v>
          </cell>
          <cell r="B235" t="str">
            <v>H0, L0, K0</v>
          </cell>
        </row>
        <row r="236">
          <cell r="A236" t="str">
            <v>BRU179</v>
          </cell>
          <cell r="B236" t="str">
            <v>L0</v>
          </cell>
        </row>
        <row r="237">
          <cell r="A237" t="str">
            <v>BTU206</v>
          </cell>
          <cell r="B237" t="str">
            <v>T0</v>
          </cell>
        </row>
        <row r="238">
          <cell r="A238" t="str">
            <v>D7420</v>
          </cell>
          <cell r="B238" t="str">
            <v>H0, L0</v>
          </cell>
        </row>
        <row r="239">
          <cell r="A239" t="str">
            <v>OTG064</v>
          </cell>
          <cell r="B239" t="str">
            <v>H0</v>
          </cell>
        </row>
        <row r="240">
          <cell r="A240" t="str">
            <v>OTG065</v>
          </cell>
          <cell r="B240" t="str">
            <v>K0</v>
          </cell>
        </row>
        <row r="241">
          <cell r="A241" t="str">
            <v>OTG072</v>
          </cell>
          <cell r="B241" t="str">
            <v>T0</v>
          </cell>
        </row>
        <row r="242">
          <cell r="A242" t="str">
            <v>PSVBB2004</v>
          </cell>
          <cell r="B242" t="str">
            <v>H0, L0</v>
          </cell>
        </row>
        <row r="243">
          <cell r="A243" t="str">
            <v>PSVPI2000</v>
          </cell>
          <cell r="B243" t="str">
            <v>L0</v>
          </cell>
        </row>
      </sheetData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4C145A-2A4F-42E9-8D07-75998E1233D0}" name="Tableau1" displayName="Tableau1" ref="B3:AH302" totalsRowShown="0" headerRowDxfId="37" dataDxfId="36">
  <autoFilter ref="B3:AH302" xr:uid="{164C145A-2A4F-42E9-8D07-75998E1233D0}">
    <filterColumn colId="2">
      <filters>
        <filter val="Resp Synth"/>
      </filters>
    </filterColumn>
  </autoFilter>
  <tableColumns count="33">
    <tableColumn id="1" xr3:uid="{31DFFA88-52CD-43FF-AC4E-FE00328B0A7B}" name="CHRONO EMIS" dataDxfId="35"/>
    <tableColumn id="2" xr3:uid="{CDF2848B-B96E-4B33-BC66-DA66937C4CE1}" name="CHRONO BUTA" dataDxfId="34"/>
    <tableColumn id="3" xr3:uid="{CD4E7223-655E-4ECF-AE64-80E6D5393859}" name="RESPONSABLE  Principal" dataDxfId="33"/>
    <tableColumn id="32" xr3:uid="{F0F9D3BE-10E5-448D-98B3-A56457BB3846}" name="Responsable secondaire" dataDxfId="32"/>
    <tableColumn id="33" xr3:uid="{865AF433-0031-460E-A03F-673E8B5A5330}" name="Responsable secondaire2" dataDxfId="31"/>
    <tableColumn id="20" xr3:uid="{6CC9E08C-BD91-431A-A698-98BF7F679BA0}" name="AMIANTE" dataDxfId="30"/>
    <tableColumn id="4" xr3:uid="{53285E50-1A64-4CF9-BF52-44DBDBE776D2}" name="UNITE" dataDxfId="29"/>
    <tableColumn id="5" xr3:uid="{B75EAB72-A2B8-4346-8436-E6446D5283C1}" name="ITEM" dataDxfId="28">
      <calculatedColumnFormula>RIGHT(J4,LEN(J4)-3)</calculatedColumnFormula>
    </tableColumn>
    <tableColumn id="6" xr3:uid="{E51C544C-5891-48A1-8E1B-DE08A85B9761}" name="OT" dataDxfId="27"/>
    <tableColumn id="7" xr3:uid="{19991140-E8FD-4616-A3E1-D2CA2CA4238E}" name="LOT" dataDxfId="26"/>
    <tableColumn id="8" xr3:uid="{87645C06-1362-4D12-A712-7E5ABA9D13EF}" name="TITRE _x000a_GAMME" dataDxfId="25"/>
    <tableColumn id="9" xr3:uid="{29059F74-97E0-4540-BEB0-57C2820A23DF}" name="FAMILLE ITEM" dataDxfId="24"/>
    <tableColumn id="10" xr3:uid="{F21165DB-5649-454B-8B56-303844F931F2}" name="TYPE ITEM" dataDxfId="23"/>
    <tableColumn id="11" xr3:uid="{378D33CC-FDCC-4CB6-B047-373DFE19B704}" name="TYPE TRAVAUX" dataDxfId="22">
      <calculatedColumnFormula>_xlfn.XLOOKUP(I4,[1]OTs_Extract!$A$2:$A$243,[1]OTs_Extract!$B$2:$B$243)</calculatedColumnFormula>
    </tableColumn>
    <tableColumn id="12" xr3:uid="{CD2D4C1C-C9A1-44CE-BB7F-46F2676303A0}" name="REV" dataDxfId="21"/>
    <tableColumn id="13" xr3:uid="{B66A1C2E-4C24-4075-88D1-FE9AD09219BC}" name="TB/TC/TA" dataDxfId="20"/>
    <tableColumn id="14" xr3:uid="{B8E645F7-544C-4122-BA76-712E7C173349}" name="FIESP" dataDxfId="19"/>
    <tableColumn id="15" xr3:uid="{A6B06861-EDA3-47BE-9EDD-3CD8D11DDD48}" name="COMMENTAIRES" dataDxfId="18"/>
    <tableColumn id="16" xr3:uid="{57478D25-BDCB-49AE-960E-407CCC3756C6}" name="Colonne1" dataDxfId="17"/>
    <tableColumn id="17" xr3:uid="{9E0C17A5-EACB-46A1-AA98-7530428C452F}" name="MONTAGE" dataDxfId="16"/>
    <tableColumn id="18" xr3:uid="{63175C38-8D33-44E4-A8E9-913829A3F82F}" name="METAL" dataDxfId="15"/>
    <tableColumn id="19" xr3:uid="{D4DB20ED-7B37-4D90-8D13-50C565F931C5}" name="NETTOYAGE_x000a_HP" dataDxfId="14"/>
    <tableColumn id="21" xr3:uid="{D1BE8692-4C62-4663-B113-C8BB6B526C4D}" name="Colonne3" dataDxfId="13" dataCellStyle="Monétaire"/>
    <tableColumn id="22" xr3:uid="{36F26A9E-8778-45D9-9196-27E4B5DB79FF}" name="DEBUT" dataDxfId="12"/>
    <tableColumn id="23" xr3:uid="{381FC326-D597-42EA-9B17-F8D2E9B10163}" name="FIN" dataDxfId="11"/>
    <tableColumn id="24" xr3:uid="{653F1058-3441-46C9-A0B9-E095F49C9F74}" name="Colonne4" dataDxfId="10"/>
    <tableColumn id="25" xr3:uid="{58409CF6-7E80-4806-9841-3101AB8FDA3F}" name="ECHAF" dataDxfId="9"/>
    <tableColumn id="26" xr3:uid="{DCB8E466-E3F8-470C-9EAF-0F63FC6A834A}" name="CALO" dataDxfId="8"/>
    <tableColumn id="27" xr3:uid="{D11B50B1-1215-4EE8-BDC6-6D2AFC72EA95}" name="MONT" dataDxfId="7"/>
    <tableColumn id="28" xr3:uid="{E731C56B-5DA0-4709-9750-5DFD73C6D498}" name="MET" dataDxfId="6"/>
    <tableColumn id="29" xr3:uid="{418DB0C8-9200-4AC7-95AF-B904AB5B6965}" name="FOURNITURE" dataDxfId="5"/>
    <tableColumn id="30" xr3:uid="{9C9C4CF1-E69C-41B5-8AEC-F5B0E9813B00}" name="NETT" dataDxfId="4"/>
    <tableColumn id="31" xr3:uid="{2849E5F7-C21F-4569-9865-FFD373B82B09}" name="AUTRES TRAVAUX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4C050-5CDC-44E8-9200-D0BFE30FBAE8}">
  <sheetPr codeName="Feuil1">
    <pageSetUpPr fitToPage="1"/>
  </sheetPr>
  <dimension ref="B1:AK302"/>
  <sheetViews>
    <sheetView tabSelected="1" topLeftCell="C3" zoomScale="40" zoomScaleNormal="40" zoomScaleSheetLayoutView="53" workbookViewId="0">
      <pane ySplit="1" topLeftCell="A7" activePane="bottomLeft" state="frozen"/>
      <selection activeCell="A3" sqref="A3"/>
      <selection pane="bottomLeft" activeCell="AH271" sqref="D3:AH271"/>
    </sheetView>
  </sheetViews>
  <sheetFormatPr baseColWidth="10" defaultColWidth="11.5546875" defaultRowHeight="14.4" x14ac:dyDescent="0.3"/>
  <cols>
    <col min="1" max="1" width="0" style="3" hidden="1" customWidth="1"/>
    <col min="2" max="2" width="12.6640625" style="18" hidden="1" customWidth="1"/>
    <col min="3" max="3" width="12.6640625" style="3" customWidth="1"/>
    <col min="4" max="4" width="17.33203125" style="3" customWidth="1"/>
    <col min="5" max="7" width="15" style="3" customWidth="1"/>
    <col min="8" max="8" width="18.6640625" style="3" customWidth="1"/>
    <col min="9" max="9" width="16.6640625" style="3" bestFit="1" customWidth="1"/>
    <col min="10" max="10" width="16.6640625" style="3" customWidth="1"/>
    <col min="11" max="11" width="10.6640625" style="3" bestFit="1" customWidth="1"/>
    <col min="12" max="12" width="60.6640625" style="3" customWidth="1"/>
    <col min="13" max="13" width="13.33203125" style="3" bestFit="1" customWidth="1"/>
    <col min="14" max="15" width="19.44140625" style="3" customWidth="1"/>
    <col min="16" max="17" width="12.6640625" style="3" customWidth="1"/>
    <col min="18" max="18" width="16.44140625" style="3" customWidth="1"/>
    <col min="19" max="19" width="45.33203125" style="3" hidden="1" customWidth="1"/>
    <col min="20" max="20" width="3.33203125" style="1" customWidth="1"/>
    <col min="21" max="23" width="14.5546875" style="11" hidden="1" customWidth="1"/>
    <col min="24" max="24" width="3.88671875" style="8" customWidth="1"/>
    <col min="25" max="26" width="12.5546875" style="12" hidden="1" customWidth="1"/>
    <col min="27" max="27" width="1.5546875" style="1" customWidth="1"/>
    <col min="28" max="28" width="15.88671875" style="3" customWidth="1"/>
    <col min="29" max="32" width="13.88671875" style="3" customWidth="1"/>
    <col min="33" max="34" width="12.5546875" style="3" customWidth="1"/>
    <col min="35" max="35" width="2.6640625" style="8" customWidth="1"/>
    <col min="36" max="36" width="0" style="3" hidden="1" customWidth="1"/>
    <col min="37" max="37" width="33" style="3" hidden="1" customWidth="1"/>
    <col min="38" max="16384" width="11.5546875" style="3"/>
  </cols>
  <sheetData>
    <row r="1" spans="2:37" ht="61.2" customHeight="1" x14ac:dyDescent="0.3">
      <c r="B1" s="83" t="s">
        <v>0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5" t="s">
        <v>1</v>
      </c>
      <c r="V1" s="85"/>
      <c r="W1" s="85"/>
      <c r="X1" s="2"/>
      <c r="Y1" s="84" t="s">
        <v>2</v>
      </c>
      <c r="Z1" s="84"/>
      <c r="AB1" s="86" t="s">
        <v>3</v>
      </c>
      <c r="AC1" s="87"/>
      <c r="AD1" s="87"/>
      <c r="AE1" s="87"/>
      <c r="AF1" s="87"/>
      <c r="AG1" s="87"/>
      <c r="AH1" s="88"/>
      <c r="AI1" s="2"/>
    </row>
    <row r="2" spans="2:37" s="5" customFormat="1" ht="35.4" customHeight="1" thickBot="1" x14ac:dyDescent="0.35">
      <c r="B2" s="17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6"/>
      <c r="T2" s="4"/>
      <c r="U2" s="32">
        <f>SUBTOTAL(9,U4:U490)</f>
        <v>7142.4419515669533</v>
      </c>
      <c r="V2" s="31">
        <f>SUBTOTAL(9,V4:V490)</f>
        <v>947.7758883895217</v>
      </c>
      <c r="W2" s="31">
        <f>SUBTOTAL(9,W4:W490)</f>
        <v>525.81178259871444</v>
      </c>
      <c r="X2" s="4"/>
      <c r="Y2" s="62"/>
      <c r="Z2" s="63"/>
      <c r="AA2" s="4"/>
      <c r="AB2" s="64"/>
      <c r="AC2" s="65"/>
      <c r="AD2" s="65"/>
      <c r="AE2" s="66"/>
      <c r="AF2" s="66"/>
      <c r="AG2" s="66"/>
      <c r="AH2" s="67"/>
      <c r="AI2" s="4"/>
      <c r="AJ2" s="81" t="s">
        <v>11</v>
      </c>
      <c r="AK2" s="81" t="s">
        <v>12</v>
      </c>
    </row>
    <row r="3" spans="2:37" s="7" customFormat="1" ht="168.75" customHeight="1" x14ac:dyDescent="0.3">
      <c r="B3" s="19" t="s">
        <v>13</v>
      </c>
      <c r="C3" s="20" t="s">
        <v>14</v>
      </c>
      <c r="D3" s="20" t="s">
        <v>1040</v>
      </c>
      <c r="E3" s="20" t="s">
        <v>1041</v>
      </c>
      <c r="F3" s="20" t="s">
        <v>1048</v>
      </c>
      <c r="G3" s="20" t="s">
        <v>1035</v>
      </c>
      <c r="H3" s="20" t="s">
        <v>15</v>
      </c>
      <c r="I3" s="21" t="s">
        <v>16</v>
      </c>
      <c r="J3" s="21" t="s">
        <v>17</v>
      </c>
      <c r="K3" s="21" t="s">
        <v>18</v>
      </c>
      <c r="L3" s="21" t="s">
        <v>19</v>
      </c>
      <c r="M3" s="20" t="s">
        <v>20</v>
      </c>
      <c r="N3" s="20" t="s">
        <v>21</v>
      </c>
      <c r="O3" s="20" t="s">
        <v>22</v>
      </c>
      <c r="P3" s="20" t="s">
        <v>23</v>
      </c>
      <c r="Q3" s="20" t="s">
        <v>24</v>
      </c>
      <c r="R3" s="36" t="s">
        <v>25</v>
      </c>
      <c r="S3" s="22" t="s">
        <v>26</v>
      </c>
      <c r="T3" s="6" t="s">
        <v>986</v>
      </c>
      <c r="U3" s="23" t="s">
        <v>27</v>
      </c>
      <c r="V3" s="24" t="s">
        <v>28</v>
      </c>
      <c r="W3" s="25" t="s">
        <v>29</v>
      </c>
      <c r="X3" s="6" t="s">
        <v>987</v>
      </c>
      <c r="Y3" s="61" t="s">
        <v>4</v>
      </c>
      <c r="Z3" s="60" t="s">
        <v>5</v>
      </c>
      <c r="AA3" s="6" t="s">
        <v>988</v>
      </c>
      <c r="AB3" s="59" t="s">
        <v>6</v>
      </c>
      <c r="AC3" s="58" t="s">
        <v>7</v>
      </c>
      <c r="AD3" s="58" t="s">
        <v>1005</v>
      </c>
      <c r="AE3" s="57" t="s">
        <v>8</v>
      </c>
      <c r="AF3" s="57" t="s">
        <v>1006</v>
      </c>
      <c r="AG3" s="57" t="s">
        <v>9</v>
      </c>
      <c r="AH3" s="56" t="s">
        <v>10</v>
      </c>
      <c r="AI3" s="6"/>
      <c r="AJ3" s="82"/>
      <c r="AK3" s="82"/>
    </row>
    <row r="4" spans="2:37" ht="43.2" hidden="1" x14ac:dyDescent="0.3">
      <c r="B4" s="13"/>
      <c r="C4" s="10"/>
      <c r="D4" s="10"/>
      <c r="E4" s="10"/>
      <c r="F4" s="10"/>
      <c r="G4" s="10"/>
      <c r="H4" s="10" t="s">
        <v>30</v>
      </c>
      <c r="I4" s="51" t="s">
        <v>31</v>
      </c>
      <c r="J4" s="10"/>
      <c r="K4" s="10"/>
      <c r="L4" s="26" t="s">
        <v>32</v>
      </c>
      <c r="M4" s="10"/>
      <c r="N4" s="10"/>
      <c r="O4" s="10"/>
      <c r="P4" s="13"/>
      <c r="Q4" s="10"/>
      <c r="R4" s="10"/>
      <c r="S4" s="10"/>
      <c r="T4" s="27"/>
      <c r="U4" s="30">
        <v>416</v>
      </c>
      <c r="V4" s="30">
        <v>624</v>
      </c>
      <c r="W4" s="30">
        <v>0</v>
      </c>
      <c r="X4" s="27"/>
      <c r="Y4" s="9"/>
      <c r="Z4" s="9"/>
      <c r="AA4" s="27"/>
      <c r="AB4" s="29"/>
      <c r="AC4" s="14" t="s">
        <v>35</v>
      </c>
      <c r="AD4" s="14" t="s">
        <v>35</v>
      </c>
      <c r="AE4" s="14" t="s">
        <v>35</v>
      </c>
      <c r="AF4" s="14" t="s">
        <v>35</v>
      </c>
      <c r="AG4" s="29"/>
      <c r="AH4" s="29"/>
      <c r="AI4" s="27"/>
      <c r="AJ4" s="3" t="s">
        <v>35</v>
      </c>
    </row>
    <row r="5" spans="2:37" ht="28.2" hidden="1" customHeight="1" x14ac:dyDescent="0.3">
      <c r="B5" s="13"/>
      <c r="C5" s="10">
        <v>2</v>
      </c>
      <c r="D5" s="75" t="s">
        <v>1036</v>
      </c>
      <c r="E5" s="10"/>
      <c r="F5" s="10"/>
      <c r="G5" s="10"/>
      <c r="H5" s="10" t="s">
        <v>36</v>
      </c>
      <c r="I5" s="51" t="s">
        <v>44</v>
      </c>
      <c r="J5" s="10" t="s">
        <v>45</v>
      </c>
      <c r="K5" s="10" t="str">
        <f>+LEFT(J5,2)</f>
        <v>S1</v>
      </c>
      <c r="L5" s="26" t="s">
        <v>46</v>
      </c>
      <c r="M5" s="10" t="s">
        <v>47</v>
      </c>
      <c r="N5" s="10" t="s">
        <v>48</v>
      </c>
      <c r="O5" s="10" t="s">
        <v>948</v>
      </c>
      <c r="P5" s="13" t="s">
        <v>33</v>
      </c>
      <c r="Q5" s="10" t="s">
        <v>34</v>
      </c>
      <c r="R5" s="10"/>
      <c r="S5" s="10" t="s">
        <v>49</v>
      </c>
      <c r="T5" s="27"/>
      <c r="U5" s="30">
        <v>70.199252136752136</v>
      </c>
      <c r="V5" s="30">
        <v>0</v>
      </c>
      <c r="W5" s="30">
        <v>0</v>
      </c>
      <c r="X5" s="27"/>
      <c r="Y5" s="9"/>
      <c r="Z5" s="9"/>
      <c r="AA5" s="27"/>
      <c r="AB5" s="29"/>
      <c r="AC5" s="14" t="s">
        <v>35</v>
      </c>
      <c r="AD5" s="14" t="s">
        <v>35</v>
      </c>
      <c r="AE5" s="29"/>
      <c r="AF5" s="29"/>
      <c r="AG5" s="29"/>
      <c r="AH5" s="29"/>
      <c r="AI5" s="27"/>
      <c r="AJ5" s="3" t="s">
        <v>42</v>
      </c>
      <c r="AK5" s="3" t="s">
        <v>43</v>
      </c>
    </row>
    <row r="6" spans="2:37" ht="28.2" hidden="1" customHeight="1" x14ac:dyDescent="0.3">
      <c r="B6" s="13"/>
      <c r="C6" s="13">
        <v>1078</v>
      </c>
      <c r="D6" s="75" t="s">
        <v>1036</v>
      </c>
      <c r="E6" s="10"/>
      <c r="F6" s="10"/>
      <c r="G6" s="10"/>
      <c r="H6" s="10" t="s">
        <v>36</v>
      </c>
      <c r="I6" s="10" t="str">
        <f>RIGHT(J6,LEN(J6)-3)</f>
        <v>B4702</v>
      </c>
      <c r="J6" s="34" t="s">
        <v>926</v>
      </c>
      <c r="K6" s="10" t="s">
        <v>989</v>
      </c>
      <c r="L6" s="10" t="s">
        <v>993</v>
      </c>
      <c r="M6" s="10" t="s">
        <v>47</v>
      </c>
      <c r="N6" s="10" t="s">
        <v>336</v>
      </c>
      <c r="O6" s="10" t="s">
        <v>948</v>
      </c>
      <c r="P6" s="13" t="s">
        <v>985</v>
      </c>
      <c r="Q6" s="10" t="s">
        <v>1011</v>
      </c>
      <c r="R6" s="10"/>
      <c r="S6" s="10"/>
      <c r="T6" s="27"/>
      <c r="U6" s="30">
        <v>0</v>
      </c>
      <c r="V6" s="30">
        <v>0</v>
      </c>
      <c r="W6" s="30">
        <v>0</v>
      </c>
      <c r="X6" s="28"/>
      <c r="Y6" s="9"/>
      <c r="Z6" s="9"/>
      <c r="AA6" s="27"/>
      <c r="AB6" s="29"/>
      <c r="AC6" s="14" t="s">
        <v>35</v>
      </c>
      <c r="AD6" s="14" t="s">
        <v>35</v>
      </c>
      <c r="AE6" s="29"/>
      <c r="AF6" s="29"/>
      <c r="AG6" s="29"/>
      <c r="AH6" s="29"/>
      <c r="AI6" s="27"/>
      <c r="AJ6" s="3" t="s">
        <v>42</v>
      </c>
      <c r="AK6" s="3" t="s">
        <v>43</v>
      </c>
    </row>
    <row r="7" spans="2:37" ht="37.799999999999997" customHeight="1" x14ac:dyDescent="0.3">
      <c r="B7" s="13"/>
      <c r="C7" s="10">
        <v>38</v>
      </c>
      <c r="D7" s="76" t="s">
        <v>1043</v>
      </c>
      <c r="E7" s="10" t="s">
        <v>1042</v>
      </c>
      <c r="F7" s="79" t="s">
        <v>1049</v>
      </c>
      <c r="G7" s="10"/>
      <c r="H7" s="10" t="s">
        <v>119</v>
      </c>
      <c r="I7" s="51" t="s">
        <v>166</v>
      </c>
      <c r="J7" s="10" t="s">
        <v>167</v>
      </c>
      <c r="K7" s="10" t="str">
        <f t="shared" ref="K7:K37" si="0">+LEFT(J7,2)</f>
        <v>S1</v>
      </c>
      <c r="L7" s="26" t="s">
        <v>168</v>
      </c>
      <c r="M7" s="10" t="s">
        <v>47</v>
      </c>
      <c r="N7" s="10" t="s">
        <v>169</v>
      </c>
      <c r="O7" s="10" t="s">
        <v>956</v>
      </c>
      <c r="P7" s="13" t="s">
        <v>33</v>
      </c>
      <c r="Q7" s="10" t="s">
        <v>34</v>
      </c>
      <c r="R7" s="37" t="s">
        <v>170</v>
      </c>
      <c r="S7" s="10"/>
      <c r="T7" s="27"/>
      <c r="U7" s="30">
        <v>94.366096866096882</v>
      </c>
      <c r="V7" s="30">
        <v>236.63887598683399</v>
      </c>
      <c r="W7" s="10">
        <v>11.468893480257115</v>
      </c>
      <c r="X7" s="28"/>
      <c r="Y7" s="9"/>
      <c r="Z7" s="9"/>
      <c r="AA7" s="27"/>
      <c r="AB7" s="14" t="s">
        <v>35</v>
      </c>
      <c r="AC7" s="14" t="s">
        <v>35</v>
      </c>
      <c r="AD7" s="14" t="s">
        <v>35</v>
      </c>
      <c r="AE7" s="14" t="s">
        <v>35</v>
      </c>
      <c r="AF7" s="14" t="s">
        <v>35</v>
      </c>
      <c r="AG7" s="14" t="s">
        <v>35</v>
      </c>
      <c r="AH7" s="29"/>
      <c r="AI7" s="27"/>
      <c r="AJ7" s="3" t="s">
        <v>42</v>
      </c>
      <c r="AK7" s="3" t="s">
        <v>43</v>
      </c>
    </row>
    <row r="8" spans="2:37" ht="37.799999999999997" customHeight="1" x14ac:dyDescent="0.3">
      <c r="B8" s="13"/>
      <c r="C8" s="10">
        <v>39</v>
      </c>
      <c r="D8" s="76" t="s">
        <v>1043</v>
      </c>
      <c r="E8" s="10"/>
      <c r="F8" s="79" t="s">
        <v>1049</v>
      </c>
      <c r="G8" s="10"/>
      <c r="H8" s="10" t="s">
        <v>119</v>
      </c>
      <c r="I8" s="51" t="s">
        <v>173</v>
      </c>
      <c r="J8" s="10" t="s">
        <v>174</v>
      </c>
      <c r="K8" s="10" t="str">
        <f t="shared" si="0"/>
        <v>S1</v>
      </c>
      <c r="L8" s="26" t="s">
        <v>175</v>
      </c>
      <c r="M8" s="10" t="s">
        <v>47</v>
      </c>
      <c r="N8" s="10" t="s">
        <v>176</v>
      </c>
      <c r="O8" s="10" t="s">
        <v>957</v>
      </c>
      <c r="P8" s="13" t="s">
        <v>1010</v>
      </c>
      <c r="Q8" s="10" t="s">
        <v>34</v>
      </c>
      <c r="R8" s="10"/>
      <c r="S8" s="10" t="s">
        <v>177</v>
      </c>
      <c r="T8" s="27"/>
      <c r="U8" s="30">
        <v>54.088319088319089</v>
      </c>
      <c r="V8" s="30">
        <v>0</v>
      </c>
      <c r="W8" s="30">
        <v>6.0402892561983474</v>
      </c>
      <c r="X8" s="28"/>
      <c r="Y8" s="9"/>
      <c r="Z8" s="9"/>
      <c r="AA8" s="27"/>
      <c r="AB8" s="14" t="s">
        <v>35</v>
      </c>
      <c r="AC8" s="14" t="s">
        <v>35</v>
      </c>
      <c r="AD8" s="14" t="s">
        <v>35</v>
      </c>
      <c r="AE8" s="29"/>
      <c r="AF8" s="29"/>
      <c r="AG8" s="14" t="s">
        <v>35</v>
      </c>
      <c r="AH8" s="29"/>
      <c r="AI8" s="27"/>
      <c r="AJ8" s="3" t="s">
        <v>35</v>
      </c>
      <c r="AK8" s="3" t="s">
        <v>59</v>
      </c>
    </row>
    <row r="9" spans="2:37" ht="37.799999999999997" customHeight="1" x14ac:dyDescent="0.3">
      <c r="B9" s="13"/>
      <c r="C9" s="10">
        <v>40</v>
      </c>
      <c r="D9" s="76" t="s">
        <v>1043</v>
      </c>
      <c r="E9" s="10"/>
      <c r="F9" s="79" t="s">
        <v>1049</v>
      </c>
      <c r="G9" s="10"/>
      <c r="H9" s="10" t="s">
        <v>119</v>
      </c>
      <c r="I9" s="51" t="s">
        <v>178</v>
      </c>
      <c r="J9" s="10" t="s">
        <v>179</v>
      </c>
      <c r="K9" s="10" t="str">
        <f t="shared" si="0"/>
        <v>S1</v>
      </c>
      <c r="L9" s="26" t="s">
        <v>180</v>
      </c>
      <c r="M9" s="10" t="s">
        <v>47</v>
      </c>
      <c r="N9" s="10" t="s">
        <v>181</v>
      </c>
      <c r="O9" s="10" t="s">
        <v>958</v>
      </c>
      <c r="P9" s="13" t="s">
        <v>1010</v>
      </c>
      <c r="Q9" s="10" t="s">
        <v>34</v>
      </c>
      <c r="R9" s="10"/>
      <c r="S9" s="10" t="s">
        <v>182</v>
      </c>
      <c r="T9" s="27"/>
      <c r="U9" s="30">
        <v>969.9307336182336</v>
      </c>
      <c r="V9" s="30">
        <v>0</v>
      </c>
      <c r="W9" s="30">
        <v>16.280245638200185</v>
      </c>
      <c r="X9" s="28"/>
      <c r="Y9" s="9"/>
      <c r="Z9" s="9"/>
      <c r="AA9" s="27"/>
      <c r="AB9" s="14" t="s">
        <v>35</v>
      </c>
      <c r="AC9" s="14" t="s">
        <v>35</v>
      </c>
      <c r="AD9" s="14" t="s">
        <v>35</v>
      </c>
      <c r="AE9" s="29"/>
      <c r="AF9" s="29"/>
      <c r="AG9" s="14" t="s">
        <v>35</v>
      </c>
      <c r="AH9" s="29"/>
      <c r="AI9" s="27"/>
      <c r="AJ9" s="3" t="s">
        <v>35</v>
      </c>
      <c r="AK9" s="3" t="s">
        <v>59</v>
      </c>
    </row>
    <row r="10" spans="2:37" ht="37.799999999999997" customHeight="1" x14ac:dyDescent="0.3">
      <c r="B10" s="13"/>
      <c r="C10" s="10">
        <v>42</v>
      </c>
      <c r="D10" s="76" t="s">
        <v>1043</v>
      </c>
      <c r="E10" s="10"/>
      <c r="F10" s="79" t="s">
        <v>1049</v>
      </c>
      <c r="G10" s="10"/>
      <c r="H10" s="10" t="s">
        <v>119</v>
      </c>
      <c r="I10" s="51" t="s">
        <v>187</v>
      </c>
      <c r="J10" s="10" t="s">
        <v>188</v>
      </c>
      <c r="K10" s="10" t="str">
        <f t="shared" si="0"/>
        <v>S1</v>
      </c>
      <c r="L10" s="26" t="s">
        <v>189</v>
      </c>
      <c r="M10" s="10" t="s">
        <v>47</v>
      </c>
      <c r="N10" s="10" t="s">
        <v>181</v>
      </c>
      <c r="O10" s="10" t="s">
        <v>958</v>
      </c>
      <c r="P10" s="13" t="s">
        <v>1010</v>
      </c>
      <c r="Q10" s="10" t="s">
        <v>34</v>
      </c>
      <c r="R10" s="10"/>
      <c r="S10" s="10"/>
      <c r="T10" s="27"/>
      <c r="U10" s="30">
        <v>974.99430199430208</v>
      </c>
      <c r="V10" s="30">
        <v>0</v>
      </c>
      <c r="W10" s="30">
        <v>16.280245638200185</v>
      </c>
      <c r="X10" s="28"/>
      <c r="Y10" s="9"/>
      <c r="Z10" s="9"/>
      <c r="AA10" s="27"/>
      <c r="AB10" s="14" t="s">
        <v>35</v>
      </c>
      <c r="AC10" s="14" t="s">
        <v>35</v>
      </c>
      <c r="AD10" s="14" t="s">
        <v>35</v>
      </c>
      <c r="AE10" s="29"/>
      <c r="AF10" s="29"/>
      <c r="AG10" s="14" t="s">
        <v>35</v>
      </c>
      <c r="AH10" s="29"/>
      <c r="AI10" s="27"/>
      <c r="AJ10" s="3" t="s">
        <v>35</v>
      </c>
      <c r="AK10" s="3" t="s">
        <v>59</v>
      </c>
    </row>
    <row r="11" spans="2:37" ht="37.799999999999997" customHeight="1" x14ac:dyDescent="0.3">
      <c r="B11" s="13"/>
      <c r="C11" s="10">
        <v>159</v>
      </c>
      <c r="D11" s="76" t="s">
        <v>1043</v>
      </c>
      <c r="E11" s="10"/>
      <c r="F11" s="79" t="s">
        <v>1049</v>
      </c>
      <c r="G11" s="10"/>
      <c r="H11" s="10" t="s">
        <v>119</v>
      </c>
      <c r="I11" s="51" t="s">
        <v>569</v>
      </c>
      <c r="J11" s="10" t="s">
        <v>570</v>
      </c>
      <c r="K11" s="10" t="str">
        <f t="shared" si="0"/>
        <v>S2</v>
      </c>
      <c r="L11" s="26" t="s">
        <v>571</v>
      </c>
      <c r="M11" s="10" t="s">
        <v>47</v>
      </c>
      <c r="N11" s="10" t="s">
        <v>169</v>
      </c>
      <c r="O11" s="10" t="s">
        <v>976</v>
      </c>
      <c r="P11" s="13" t="s">
        <v>213</v>
      </c>
      <c r="Q11" s="10" t="s">
        <v>34</v>
      </c>
      <c r="R11" s="34" t="s">
        <v>572</v>
      </c>
      <c r="S11" s="10"/>
      <c r="T11" s="27"/>
      <c r="U11" s="30">
        <v>115.08475783475784</v>
      </c>
      <c r="V11" s="30">
        <v>27.204598039998565</v>
      </c>
      <c r="W11" s="30">
        <v>3.0596590909090908</v>
      </c>
      <c r="X11" s="28"/>
      <c r="Y11" s="9"/>
      <c r="Z11" s="9"/>
      <c r="AA11" s="27"/>
      <c r="AB11" s="14" t="s">
        <v>35</v>
      </c>
      <c r="AC11" s="14" t="s">
        <v>35</v>
      </c>
      <c r="AD11" s="14" t="s">
        <v>35</v>
      </c>
      <c r="AE11" s="14" t="s">
        <v>35</v>
      </c>
      <c r="AF11" s="14" t="s">
        <v>35</v>
      </c>
      <c r="AG11" s="14" t="s">
        <v>35</v>
      </c>
      <c r="AH11" s="29"/>
      <c r="AI11" s="28"/>
      <c r="AJ11" s="3" t="s">
        <v>35</v>
      </c>
      <c r="AK11" s="3" t="s">
        <v>59</v>
      </c>
    </row>
    <row r="12" spans="2:37" ht="37.799999999999997" customHeight="1" x14ac:dyDescent="0.3">
      <c r="B12" s="13"/>
      <c r="C12" s="10">
        <v>160</v>
      </c>
      <c r="D12" s="76" t="s">
        <v>1043</v>
      </c>
      <c r="E12" s="10"/>
      <c r="F12" s="79" t="s">
        <v>1049</v>
      </c>
      <c r="G12" s="10"/>
      <c r="H12" s="10" t="s">
        <v>119</v>
      </c>
      <c r="I12" s="51" t="s">
        <v>573</v>
      </c>
      <c r="J12" s="10" t="s">
        <v>574</v>
      </c>
      <c r="K12" s="10" t="str">
        <f t="shared" si="0"/>
        <v>S2</v>
      </c>
      <c r="L12" s="26" t="s">
        <v>575</v>
      </c>
      <c r="M12" s="10" t="s">
        <v>47</v>
      </c>
      <c r="N12" s="10" t="s">
        <v>169</v>
      </c>
      <c r="O12" s="10" t="s">
        <v>958</v>
      </c>
      <c r="P12" s="13" t="s">
        <v>985</v>
      </c>
      <c r="Q12" s="10" t="s">
        <v>34</v>
      </c>
      <c r="R12" s="10"/>
      <c r="S12" s="10"/>
      <c r="T12" s="27"/>
      <c r="U12" s="30">
        <v>47.875712250712247</v>
      </c>
      <c r="V12" s="30">
        <v>3.9062084111873658</v>
      </c>
      <c r="W12" s="30">
        <v>5.424328512396694</v>
      </c>
      <c r="X12" s="28"/>
      <c r="Y12" s="9"/>
      <c r="Z12" s="9"/>
      <c r="AA12" s="27"/>
      <c r="AB12" s="14" t="s">
        <v>35</v>
      </c>
      <c r="AC12" s="14" t="s">
        <v>35</v>
      </c>
      <c r="AD12" s="14" t="s">
        <v>35</v>
      </c>
      <c r="AE12" s="14" t="s">
        <v>35</v>
      </c>
      <c r="AF12" s="29"/>
      <c r="AG12" s="14" t="s">
        <v>35</v>
      </c>
      <c r="AH12" s="29"/>
      <c r="AI12" s="28"/>
      <c r="AJ12" s="3" t="s">
        <v>35</v>
      </c>
      <c r="AK12" s="3" t="s">
        <v>59</v>
      </c>
    </row>
    <row r="13" spans="2:37" ht="37.799999999999997" customHeight="1" x14ac:dyDescent="0.3">
      <c r="B13" s="13"/>
      <c r="C13" s="10">
        <v>43</v>
      </c>
      <c r="D13" s="76" t="s">
        <v>1043</v>
      </c>
      <c r="E13" s="10" t="s">
        <v>1042</v>
      </c>
      <c r="F13" s="10"/>
      <c r="G13" s="10"/>
      <c r="H13" s="10" t="s">
        <v>119</v>
      </c>
      <c r="I13" s="51" t="s">
        <v>190</v>
      </c>
      <c r="J13" s="10" t="s">
        <v>191</v>
      </c>
      <c r="K13" s="10" t="str">
        <f t="shared" si="0"/>
        <v>S1</v>
      </c>
      <c r="L13" s="26" t="s">
        <v>192</v>
      </c>
      <c r="M13" s="10" t="s">
        <v>47</v>
      </c>
      <c r="N13" s="10" t="s">
        <v>169</v>
      </c>
      <c r="O13" s="10" t="s">
        <v>959</v>
      </c>
      <c r="P13" s="13" t="s">
        <v>33</v>
      </c>
      <c r="Q13" s="10" t="s">
        <v>34</v>
      </c>
      <c r="R13" s="37" t="s">
        <v>193</v>
      </c>
      <c r="S13" s="10"/>
      <c r="T13" s="27"/>
      <c r="U13" s="30">
        <v>16.572649572649574</v>
      </c>
      <c r="V13" s="30">
        <v>61.721920515610016</v>
      </c>
      <c r="W13" s="30">
        <v>0</v>
      </c>
      <c r="X13" s="28"/>
      <c r="Y13" s="9"/>
      <c r="Z13" s="9"/>
      <c r="AA13" s="27"/>
      <c r="AB13" s="14" t="s">
        <v>35</v>
      </c>
      <c r="AC13" s="14" t="s">
        <v>35</v>
      </c>
      <c r="AD13" s="14" t="s">
        <v>35</v>
      </c>
      <c r="AE13" s="14" t="s">
        <v>35</v>
      </c>
      <c r="AF13" s="14" t="s">
        <v>35</v>
      </c>
      <c r="AG13" s="29"/>
      <c r="AH13" s="29"/>
      <c r="AI13" s="28"/>
      <c r="AJ13" s="3" t="s">
        <v>42</v>
      </c>
      <c r="AK13" s="3" t="s">
        <v>75</v>
      </c>
    </row>
    <row r="14" spans="2:37" ht="37.799999999999997" customHeight="1" x14ac:dyDescent="0.3">
      <c r="B14" s="13"/>
      <c r="C14" s="10">
        <v>162</v>
      </c>
      <c r="D14" s="76" t="s">
        <v>1043</v>
      </c>
      <c r="E14" s="10"/>
      <c r="F14" s="79" t="s">
        <v>1049</v>
      </c>
      <c r="G14" s="10"/>
      <c r="H14" s="10" t="s">
        <v>119</v>
      </c>
      <c r="I14" s="51" t="s">
        <v>579</v>
      </c>
      <c r="J14" s="10" t="s">
        <v>580</v>
      </c>
      <c r="K14" s="10" t="str">
        <f t="shared" si="0"/>
        <v>S2</v>
      </c>
      <c r="L14" s="26" t="s">
        <v>581</v>
      </c>
      <c r="M14" s="10" t="s">
        <v>47</v>
      </c>
      <c r="N14" s="10" t="s">
        <v>169</v>
      </c>
      <c r="O14" s="10" t="s">
        <v>960</v>
      </c>
      <c r="P14" s="13" t="s">
        <v>33</v>
      </c>
      <c r="Q14" s="10" t="s">
        <v>34</v>
      </c>
      <c r="R14" s="10"/>
      <c r="S14" s="10"/>
      <c r="T14" s="27"/>
      <c r="U14" s="30">
        <v>84.242521367521377</v>
      </c>
      <c r="V14" s="30">
        <v>0</v>
      </c>
      <c r="W14" s="30">
        <v>8.991104224058768</v>
      </c>
      <c r="X14" s="28"/>
      <c r="Y14" s="9"/>
      <c r="Z14" s="9"/>
      <c r="AA14" s="27"/>
      <c r="AB14" s="14" t="s">
        <v>35</v>
      </c>
      <c r="AC14" s="14" t="s">
        <v>35</v>
      </c>
      <c r="AD14" s="14" t="s">
        <v>35</v>
      </c>
      <c r="AE14" s="29"/>
      <c r="AF14" s="29"/>
      <c r="AG14" s="14" t="s">
        <v>35</v>
      </c>
      <c r="AH14" s="29"/>
      <c r="AI14" s="28"/>
      <c r="AJ14" s="3" t="s">
        <v>42</v>
      </c>
      <c r="AK14" s="3" t="s">
        <v>75</v>
      </c>
    </row>
    <row r="15" spans="2:37" ht="37.799999999999997" customHeight="1" x14ac:dyDescent="0.3">
      <c r="B15" s="13"/>
      <c r="C15" s="10">
        <v>44</v>
      </c>
      <c r="D15" s="76" t="s">
        <v>1043</v>
      </c>
      <c r="E15" s="10"/>
      <c r="F15" s="79" t="s">
        <v>1049</v>
      </c>
      <c r="G15" s="10"/>
      <c r="H15" s="10" t="s">
        <v>119</v>
      </c>
      <c r="I15" s="51" t="s">
        <v>194</v>
      </c>
      <c r="J15" s="10" t="s">
        <v>195</v>
      </c>
      <c r="K15" s="10" t="str">
        <f t="shared" si="0"/>
        <v>S1</v>
      </c>
      <c r="L15" s="26" t="s">
        <v>196</v>
      </c>
      <c r="M15" s="10" t="s">
        <v>47</v>
      </c>
      <c r="N15" s="10" t="s">
        <v>169</v>
      </c>
      <c r="O15" s="10" t="s">
        <v>956</v>
      </c>
      <c r="P15" s="13" t="s">
        <v>33</v>
      </c>
      <c r="Q15" s="10" t="s">
        <v>34</v>
      </c>
      <c r="R15" s="10"/>
      <c r="S15" s="10"/>
      <c r="T15" s="27"/>
      <c r="U15" s="30">
        <v>93.446403133903132</v>
      </c>
      <c r="V15" s="30">
        <v>4.1421538856886153</v>
      </c>
      <c r="W15" s="30">
        <v>3.2047463269054175</v>
      </c>
      <c r="X15" s="28"/>
      <c r="Y15" s="9"/>
      <c r="Z15" s="9"/>
      <c r="AA15" s="27"/>
      <c r="AB15" s="14" t="s">
        <v>35</v>
      </c>
      <c r="AC15" s="14" t="s">
        <v>35</v>
      </c>
      <c r="AD15" s="14" t="s">
        <v>35</v>
      </c>
      <c r="AE15" s="14" t="s">
        <v>35</v>
      </c>
      <c r="AF15" s="29"/>
      <c r="AG15" s="14" t="s">
        <v>35</v>
      </c>
      <c r="AH15" s="29"/>
      <c r="AI15" s="28"/>
      <c r="AJ15" s="3" t="s">
        <v>42</v>
      </c>
      <c r="AK15" s="3" t="s">
        <v>75</v>
      </c>
    </row>
    <row r="16" spans="2:37" ht="37.799999999999997" customHeight="1" x14ac:dyDescent="0.3">
      <c r="B16" s="13"/>
      <c r="C16" s="10">
        <v>45</v>
      </c>
      <c r="D16" s="76" t="s">
        <v>1043</v>
      </c>
      <c r="E16" s="10" t="s">
        <v>1047</v>
      </c>
      <c r="F16" s="79" t="s">
        <v>1049</v>
      </c>
      <c r="G16" s="10"/>
      <c r="H16" s="10" t="s">
        <v>119</v>
      </c>
      <c r="I16" s="51" t="s">
        <v>197</v>
      </c>
      <c r="J16" s="10" t="s">
        <v>198</v>
      </c>
      <c r="K16" s="10" t="str">
        <f t="shared" si="0"/>
        <v>S1</v>
      </c>
      <c r="L16" s="26" t="s">
        <v>199</v>
      </c>
      <c r="M16" s="10" t="s">
        <v>47</v>
      </c>
      <c r="N16" s="10" t="s">
        <v>200</v>
      </c>
      <c r="O16" s="10" t="s">
        <v>958</v>
      </c>
      <c r="P16" s="13" t="s">
        <v>213</v>
      </c>
      <c r="Q16" s="10" t="s">
        <v>34</v>
      </c>
      <c r="R16" s="10"/>
      <c r="S16" s="10"/>
      <c r="T16" s="27"/>
      <c r="U16" s="30">
        <v>202.7743945868946</v>
      </c>
      <c r="V16" s="30">
        <v>0</v>
      </c>
      <c r="W16" s="30">
        <v>12.442665289256199</v>
      </c>
      <c r="X16" s="28"/>
      <c r="Y16" s="9"/>
      <c r="Z16" s="9"/>
      <c r="AA16" s="27"/>
      <c r="AB16" s="14" t="s">
        <v>35</v>
      </c>
      <c r="AC16" s="14" t="s">
        <v>35</v>
      </c>
      <c r="AD16" s="14" t="s">
        <v>35</v>
      </c>
      <c r="AE16" s="14" t="s">
        <v>35</v>
      </c>
      <c r="AF16" s="14" t="s">
        <v>35</v>
      </c>
      <c r="AG16" s="14" t="s">
        <v>35</v>
      </c>
      <c r="AH16" s="29"/>
      <c r="AI16" s="28"/>
      <c r="AJ16" s="3" t="s">
        <v>42</v>
      </c>
      <c r="AK16" s="3" t="s">
        <v>75</v>
      </c>
    </row>
    <row r="17" spans="2:37" ht="37.799999999999997" customHeight="1" x14ac:dyDescent="0.3">
      <c r="B17" s="13"/>
      <c r="C17" s="10">
        <v>46</v>
      </c>
      <c r="D17" s="76" t="s">
        <v>1043</v>
      </c>
      <c r="E17" s="10"/>
      <c r="F17" s="79" t="s">
        <v>1049</v>
      </c>
      <c r="G17" s="10"/>
      <c r="H17" s="10" t="s">
        <v>119</v>
      </c>
      <c r="I17" s="51" t="s">
        <v>201</v>
      </c>
      <c r="J17" s="10" t="s">
        <v>202</v>
      </c>
      <c r="K17" s="10" t="str">
        <f t="shared" si="0"/>
        <v>S1</v>
      </c>
      <c r="L17" s="26" t="s">
        <v>203</v>
      </c>
      <c r="M17" s="10" t="s">
        <v>47</v>
      </c>
      <c r="N17" s="10" t="s">
        <v>200</v>
      </c>
      <c r="O17" s="10" t="s">
        <v>960</v>
      </c>
      <c r="P17" s="13" t="s">
        <v>33</v>
      </c>
      <c r="Q17" s="10" t="s">
        <v>34</v>
      </c>
      <c r="R17" s="10"/>
      <c r="S17" s="10"/>
      <c r="T17" s="27"/>
      <c r="U17" s="30">
        <v>76.415064102564116</v>
      </c>
      <c r="V17" s="30">
        <v>0</v>
      </c>
      <c r="W17" s="30">
        <v>10.017762855831036</v>
      </c>
      <c r="X17" s="28"/>
      <c r="Y17" s="9"/>
      <c r="Z17" s="9"/>
      <c r="AA17" s="27"/>
      <c r="AB17" s="14" t="s">
        <v>35</v>
      </c>
      <c r="AC17" s="14" t="s">
        <v>35</v>
      </c>
      <c r="AD17" s="14" t="s">
        <v>35</v>
      </c>
      <c r="AE17" s="29"/>
      <c r="AF17" s="29"/>
      <c r="AG17" s="14" t="s">
        <v>35</v>
      </c>
      <c r="AH17" s="29"/>
      <c r="AI17" s="28"/>
      <c r="AJ17" s="3" t="s">
        <v>42</v>
      </c>
      <c r="AK17" s="3" t="s">
        <v>75</v>
      </c>
    </row>
    <row r="18" spans="2:37" ht="37.799999999999997" customHeight="1" x14ac:dyDescent="0.3">
      <c r="B18" s="13"/>
      <c r="C18" s="10">
        <v>47</v>
      </c>
      <c r="D18" s="76" t="s">
        <v>1043</v>
      </c>
      <c r="E18" s="10" t="s">
        <v>1047</v>
      </c>
      <c r="F18" s="79" t="s">
        <v>1049</v>
      </c>
      <c r="G18" s="10"/>
      <c r="H18" s="10" t="s">
        <v>119</v>
      </c>
      <c r="I18" s="51" t="s">
        <v>204</v>
      </c>
      <c r="J18" s="10" t="s">
        <v>205</v>
      </c>
      <c r="K18" s="10" t="str">
        <f t="shared" si="0"/>
        <v>S1</v>
      </c>
      <c r="L18" s="26" t="s">
        <v>206</v>
      </c>
      <c r="M18" s="10" t="s">
        <v>47</v>
      </c>
      <c r="N18" s="10" t="s">
        <v>200</v>
      </c>
      <c r="O18" s="10" t="s">
        <v>958</v>
      </c>
      <c r="P18" s="13" t="s">
        <v>213</v>
      </c>
      <c r="Q18" s="10" t="s">
        <v>34</v>
      </c>
      <c r="R18" s="10"/>
      <c r="S18" s="10"/>
      <c r="T18" s="27"/>
      <c r="U18" s="30">
        <v>145.92574786324789</v>
      </c>
      <c r="V18" s="30">
        <v>0</v>
      </c>
      <c r="W18" s="30">
        <v>10.017762855831036</v>
      </c>
      <c r="X18" s="28"/>
      <c r="Y18" s="9"/>
      <c r="Z18" s="9"/>
      <c r="AA18" s="27"/>
      <c r="AB18" s="14" t="s">
        <v>35</v>
      </c>
      <c r="AC18" s="14" t="s">
        <v>35</v>
      </c>
      <c r="AD18" s="14" t="s">
        <v>35</v>
      </c>
      <c r="AE18" s="29"/>
      <c r="AF18" s="29"/>
      <c r="AG18" s="14" t="s">
        <v>35</v>
      </c>
      <c r="AH18" s="29"/>
      <c r="AI18" s="28"/>
      <c r="AJ18" s="3" t="s">
        <v>42</v>
      </c>
    </row>
    <row r="19" spans="2:37" ht="37.799999999999997" customHeight="1" x14ac:dyDescent="0.3">
      <c r="B19" s="13"/>
      <c r="C19" s="10">
        <v>48</v>
      </c>
      <c r="D19" s="76" t="s">
        <v>1043</v>
      </c>
      <c r="E19" s="10" t="s">
        <v>1047</v>
      </c>
      <c r="F19" s="79" t="s">
        <v>1049</v>
      </c>
      <c r="G19" s="10"/>
      <c r="H19" s="10" t="s">
        <v>119</v>
      </c>
      <c r="I19" s="51" t="s">
        <v>207</v>
      </c>
      <c r="J19" s="10" t="s">
        <v>208</v>
      </c>
      <c r="K19" s="10" t="str">
        <f t="shared" si="0"/>
        <v>S1</v>
      </c>
      <c r="L19" s="26" t="s">
        <v>209</v>
      </c>
      <c r="M19" s="10" t="s">
        <v>47</v>
      </c>
      <c r="N19" s="10" t="s">
        <v>200</v>
      </c>
      <c r="O19" s="10" t="s">
        <v>960</v>
      </c>
      <c r="P19" s="13" t="s">
        <v>33</v>
      </c>
      <c r="Q19" s="10" t="s">
        <v>34</v>
      </c>
      <c r="R19" s="10"/>
      <c r="S19" s="10"/>
      <c r="T19" s="27"/>
      <c r="U19" s="30">
        <v>142.11235754985756</v>
      </c>
      <c r="V19" s="30">
        <v>0</v>
      </c>
      <c r="W19" s="30">
        <v>4.8796487603305785</v>
      </c>
      <c r="X19" s="28"/>
      <c r="Y19" s="9"/>
      <c r="Z19" s="9"/>
      <c r="AA19" s="27"/>
      <c r="AB19" s="14" t="s">
        <v>35</v>
      </c>
      <c r="AC19" s="14" t="s">
        <v>35</v>
      </c>
      <c r="AD19" s="14" t="s">
        <v>35</v>
      </c>
      <c r="AE19" s="29"/>
      <c r="AF19" s="29"/>
      <c r="AG19" s="14" t="s">
        <v>35</v>
      </c>
      <c r="AH19" s="29"/>
      <c r="AI19" s="28"/>
      <c r="AJ19" s="3" t="s">
        <v>35</v>
      </c>
      <c r="AK19" s="3" t="s">
        <v>96</v>
      </c>
    </row>
    <row r="20" spans="2:37" ht="37.799999999999997" customHeight="1" x14ac:dyDescent="0.3">
      <c r="B20" s="13"/>
      <c r="C20" s="10">
        <v>163</v>
      </c>
      <c r="D20" s="76" t="s">
        <v>1043</v>
      </c>
      <c r="E20" s="10"/>
      <c r="F20" s="79" t="s">
        <v>1049</v>
      </c>
      <c r="G20" s="10"/>
      <c r="H20" s="10" t="s">
        <v>119</v>
      </c>
      <c r="I20" s="51" t="s">
        <v>582</v>
      </c>
      <c r="J20" s="10" t="s">
        <v>583</v>
      </c>
      <c r="K20" s="10" t="str">
        <f t="shared" si="0"/>
        <v>S2</v>
      </c>
      <c r="L20" s="26" t="s">
        <v>584</v>
      </c>
      <c r="M20" s="10" t="s">
        <v>47</v>
      </c>
      <c r="N20" s="10" t="s">
        <v>200</v>
      </c>
      <c r="O20" s="10" t="s">
        <v>976</v>
      </c>
      <c r="P20" s="13" t="s">
        <v>213</v>
      </c>
      <c r="Q20" s="10" t="s">
        <v>34</v>
      </c>
      <c r="R20" s="10"/>
      <c r="S20" s="10"/>
      <c r="T20" s="27"/>
      <c r="U20" s="30">
        <v>364.45833333333337</v>
      </c>
      <c r="V20" s="30">
        <v>0</v>
      </c>
      <c r="W20" s="30">
        <v>14.297578053259871</v>
      </c>
      <c r="X20" s="28"/>
      <c r="Y20" s="9"/>
      <c r="Z20" s="9"/>
      <c r="AA20" s="27"/>
      <c r="AB20" s="14" t="s">
        <v>35</v>
      </c>
      <c r="AC20" s="14" t="s">
        <v>35</v>
      </c>
      <c r="AD20" s="14" t="s">
        <v>35</v>
      </c>
      <c r="AE20" s="29"/>
      <c r="AF20" s="29"/>
      <c r="AG20" s="14" t="s">
        <v>35</v>
      </c>
      <c r="AH20" s="29"/>
      <c r="AI20" s="28"/>
      <c r="AJ20" s="3" t="s">
        <v>35</v>
      </c>
      <c r="AK20" s="3" t="s">
        <v>96</v>
      </c>
    </row>
    <row r="21" spans="2:37" ht="37.799999999999997" customHeight="1" x14ac:dyDescent="0.3">
      <c r="B21" s="13"/>
      <c r="C21" s="10">
        <v>164</v>
      </c>
      <c r="D21" s="76" t="s">
        <v>1043</v>
      </c>
      <c r="E21" s="10"/>
      <c r="F21" s="79" t="s">
        <v>1049</v>
      </c>
      <c r="G21" s="10"/>
      <c r="H21" s="10" t="s">
        <v>119</v>
      </c>
      <c r="I21" s="51" t="s">
        <v>586</v>
      </c>
      <c r="J21" s="10" t="s">
        <v>587</v>
      </c>
      <c r="K21" s="10" t="str">
        <f t="shared" si="0"/>
        <v>S2</v>
      </c>
      <c r="L21" s="26" t="s">
        <v>588</v>
      </c>
      <c r="M21" s="10" t="s">
        <v>47</v>
      </c>
      <c r="N21" s="10" t="s">
        <v>200</v>
      </c>
      <c r="O21" s="10" t="s">
        <v>976</v>
      </c>
      <c r="P21" s="13" t="s">
        <v>33</v>
      </c>
      <c r="Q21" s="10" t="s">
        <v>34</v>
      </c>
      <c r="R21" s="10"/>
      <c r="S21" s="10"/>
      <c r="T21" s="27"/>
      <c r="U21" s="30">
        <v>238.99679487179489</v>
      </c>
      <c r="V21" s="30">
        <v>0</v>
      </c>
      <c r="W21" s="30">
        <v>14.297578053259871</v>
      </c>
      <c r="X21" s="28"/>
      <c r="Y21" s="9"/>
      <c r="Z21" s="9"/>
      <c r="AA21" s="27"/>
      <c r="AB21" s="14" t="s">
        <v>35</v>
      </c>
      <c r="AC21" s="14" t="s">
        <v>35</v>
      </c>
      <c r="AD21" s="14" t="s">
        <v>35</v>
      </c>
      <c r="AE21" s="29"/>
      <c r="AF21" s="29"/>
      <c r="AG21" s="14" t="s">
        <v>35</v>
      </c>
      <c r="AH21" s="29"/>
      <c r="AI21" s="28"/>
      <c r="AJ21" s="3" t="s">
        <v>35</v>
      </c>
      <c r="AK21" s="3" t="s">
        <v>96</v>
      </c>
    </row>
    <row r="22" spans="2:37" ht="37.799999999999997" customHeight="1" x14ac:dyDescent="0.3">
      <c r="B22" s="13"/>
      <c r="C22" s="10">
        <v>165</v>
      </c>
      <c r="D22" s="76" t="s">
        <v>1043</v>
      </c>
      <c r="E22" s="10" t="s">
        <v>1047</v>
      </c>
      <c r="F22" s="79" t="s">
        <v>1049</v>
      </c>
      <c r="G22" s="10"/>
      <c r="H22" s="10" t="s">
        <v>119</v>
      </c>
      <c r="I22" s="51" t="s">
        <v>589</v>
      </c>
      <c r="J22" s="10" t="s">
        <v>590</v>
      </c>
      <c r="K22" s="10" t="str">
        <f t="shared" si="0"/>
        <v>S2</v>
      </c>
      <c r="L22" s="26" t="s">
        <v>591</v>
      </c>
      <c r="M22" s="10" t="s">
        <v>47</v>
      </c>
      <c r="N22" s="10" t="s">
        <v>200</v>
      </c>
      <c r="O22" s="10" t="s">
        <v>976</v>
      </c>
      <c r="P22" s="13" t="s">
        <v>1010</v>
      </c>
      <c r="Q22" s="10" t="s">
        <v>34</v>
      </c>
      <c r="R22" s="10"/>
      <c r="S22" s="10"/>
      <c r="T22" s="27"/>
      <c r="U22" s="30">
        <v>309.18340455840462</v>
      </c>
      <c r="V22" s="30">
        <v>0</v>
      </c>
      <c r="W22" s="30">
        <v>14.297578053259871</v>
      </c>
      <c r="X22" s="28"/>
      <c r="Y22" s="9"/>
      <c r="Z22" s="9"/>
      <c r="AA22" s="27"/>
      <c r="AB22" s="14" t="s">
        <v>35</v>
      </c>
      <c r="AC22" s="14" t="s">
        <v>35</v>
      </c>
      <c r="AD22" s="14" t="s">
        <v>35</v>
      </c>
      <c r="AE22" s="29"/>
      <c r="AF22" s="29"/>
      <c r="AG22" s="14" t="s">
        <v>35</v>
      </c>
      <c r="AH22" s="29"/>
      <c r="AI22" s="28"/>
      <c r="AJ22" s="3" t="s">
        <v>35</v>
      </c>
      <c r="AK22" s="3" t="s">
        <v>59</v>
      </c>
    </row>
    <row r="23" spans="2:37" ht="37.799999999999997" customHeight="1" x14ac:dyDescent="0.3">
      <c r="B23" s="13"/>
      <c r="C23" s="10">
        <v>166</v>
      </c>
      <c r="D23" s="76" t="s">
        <v>1043</v>
      </c>
      <c r="E23" s="10" t="s">
        <v>1047</v>
      </c>
      <c r="F23" s="79" t="s">
        <v>1049</v>
      </c>
      <c r="G23" s="10"/>
      <c r="H23" s="10" t="s">
        <v>119</v>
      </c>
      <c r="I23" s="51" t="s">
        <v>592</v>
      </c>
      <c r="J23" s="10" t="s">
        <v>593</v>
      </c>
      <c r="K23" s="10" t="str">
        <f t="shared" si="0"/>
        <v>S2</v>
      </c>
      <c r="L23" s="26" t="s">
        <v>594</v>
      </c>
      <c r="M23" s="10" t="s">
        <v>47</v>
      </c>
      <c r="N23" s="10" t="s">
        <v>200</v>
      </c>
      <c r="O23" s="10" t="s">
        <v>977</v>
      </c>
      <c r="P23" s="13" t="s">
        <v>33</v>
      </c>
      <c r="Q23" s="10" t="s">
        <v>34</v>
      </c>
      <c r="R23" s="10"/>
      <c r="S23" s="10"/>
      <c r="T23" s="27"/>
      <c r="U23" s="30">
        <v>234.19017094017096</v>
      </c>
      <c r="V23" s="30">
        <v>0</v>
      </c>
      <c r="W23" s="30">
        <v>11.203311524334252</v>
      </c>
      <c r="X23" s="28"/>
      <c r="Y23" s="9"/>
      <c r="Z23" s="9"/>
      <c r="AA23" s="27"/>
      <c r="AB23" s="14" t="s">
        <v>35</v>
      </c>
      <c r="AC23" s="14" t="s">
        <v>35</v>
      </c>
      <c r="AD23" s="14" t="s">
        <v>35</v>
      </c>
      <c r="AE23" s="29"/>
      <c r="AF23" s="29"/>
      <c r="AG23" s="14" t="s">
        <v>35</v>
      </c>
      <c r="AH23" s="29"/>
      <c r="AI23" s="28"/>
      <c r="AJ23" s="3" t="s">
        <v>35</v>
      </c>
      <c r="AK23" s="3" t="s">
        <v>59</v>
      </c>
    </row>
    <row r="24" spans="2:37" ht="37.799999999999997" customHeight="1" x14ac:dyDescent="0.3">
      <c r="B24" s="13"/>
      <c r="C24" s="10">
        <v>50</v>
      </c>
      <c r="D24" s="76" t="s">
        <v>1043</v>
      </c>
      <c r="E24" s="10" t="s">
        <v>1042</v>
      </c>
      <c r="F24" s="79" t="s">
        <v>1049</v>
      </c>
      <c r="G24" s="10"/>
      <c r="H24" s="10" t="s">
        <v>119</v>
      </c>
      <c r="I24" s="51" t="s">
        <v>215</v>
      </c>
      <c r="J24" s="10" t="s">
        <v>216</v>
      </c>
      <c r="K24" s="10" t="str">
        <f t="shared" si="0"/>
        <v>S1</v>
      </c>
      <c r="L24" s="26" t="s">
        <v>217</v>
      </c>
      <c r="M24" s="10" t="s">
        <v>47</v>
      </c>
      <c r="N24" s="10" t="s">
        <v>218</v>
      </c>
      <c r="O24" s="10" t="s">
        <v>961</v>
      </c>
      <c r="P24" s="13" t="s">
        <v>985</v>
      </c>
      <c r="Q24" s="10" t="s">
        <v>34</v>
      </c>
      <c r="R24" s="37" t="s">
        <v>219</v>
      </c>
      <c r="S24" s="10"/>
      <c r="T24" s="27"/>
      <c r="U24" s="30">
        <v>240.51816239316241</v>
      </c>
      <c r="V24" s="30">
        <v>0</v>
      </c>
      <c r="W24" s="30">
        <v>39.746786042240586</v>
      </c>
      <c r="X24" s="28"/>
      <c r="Y24" s="9"/>
      <c r="Z24" s="9"/>
      <c r="AA24" s="27"/>
      <c r="AB24" s="14" t="s">
        <v>35</v>
      </c>
      <c r="AC24" s="14" t="s">
        <v>35</v>
      </c>
      <c r="AD24" s="14" t="s">
        <v>35</v>
      </c>
      <c r="AE24" s="14" t="s">
        <v>35</v>
      </c>
      <c r="AF24" s="14" t="s">
        <v>35</v>
      </c>
      <c r="AG24" s="14" t="s">
        <v>35</v>
      </c>
      <c r="AH24" s="29"/>
      <c r="AI24" s="28"/>
      <c r="AJ24" s="3" t="s">
        <v>35</v>
      </c>
      <c r="AK24" s="3" t="s">
        <v>59</v>
      </c>
    </row>
    <row r="25" spans="2:37" ht="37.799999999999997" customHeight="1" x14ac:dyDescent="0.3">
      <c r="B25" s="13"/>
      <c r="C25" s="13">
        <v>1014</v>
      </c>
      <c r="D25" s="76" t="s">
        <v>1043</v>
      </c>
      <c r="E25" s="10"/>
      <c r="F25" s="79" t="s">
        <v>1049</v>
      </c>
      <c r="G25" s="10"/>
      <c r="H25" s="10" t="s">
        <v>119</v>
      </c>
      <c r="I25" s="10" t="s">
        <v>882</v>
      </c>
      <c r="J25" s="10" t="s">
        <v>883</v>
      </c>
      <c r="K25" s="10" t="str">
        <f t="shared" si="0"/>
        <v>S1</v>
      </c>
      <c r="L25" s="10" t="s">
        <v>884</v>
      </c>
      <c r="M25" s="10" t="s">
        <v>47</v>
      </c>
      <c r="N25" s="10" t="s">
        <v>222</v>
      </c>
      <c r="O25" s="10" t="s">
        <v>966</v>
      </c>
      <c r="P25" s="13" t="s">
        <v>213</v>
      </c>
      <c r="Q25" s="10" t="s">
        <v>1011</v>
      </c>
      <c r="R25" s="10"/>
      <c r="S25" s="10"/>
      <c r="T25" s="27"/>
      <c r="U25" s="30">
        <v>0</v>
      </c>
      <c r="V25" s="30">
        <v>0</v>
      </c>
      <c r="W25" s="30">
        <v>0</v>
      </c>
      <c r="X25" s="28"/>
      <c r="Y25" s="9"/>
      <c r="Z25" s="9"/>
      <c r="AA25" s="27"/>
      <c r="AB25" s="14" t="s">
        <v>35</v>
      </c>
      <c r="AC25" s="14" t="s">
        <v>35</v>
      </c>
      <c r="AD25" s="14" t="s">
        <v>35</v>
      </c>
      <c r="AE25" s="29"/>
      <c r="AF25" s="29"/>
      <c r="AG25" s="29"/>
      <c r="AH25" s="29"/>
      <c r="AI25" s="28"/>
      <c r="AJ25" s="3" t="s">
        <v>42</v>
      </c>
    </row>
    <row r="26" spans="2:37" ht="37.799999999999997" customHeight="1" x14ac:dyDescent="0.3">
      <c r="B26" s="13"/>
      <c r="C26" s="10">
        <v>51</v>
      </c>
      <c r="D26" s="76" t="s">
        <v>1043</v>
      </c>
      <c r="E26" s="10" t="s">
        <v>1042</v>
      </c>
      <c r="F26" s="79" t="s">
        <v>1049</v>
      </c>
      <c r="G26" s="10"/>
      <c r="H26" s="10" t="s">
        <v>119</v>
      </c>
      <c r="I26" s="51" t="s">
        <v>220</v>
      </c>
      <c r="J26" s="10" t="s">
        <v>221</v>
      </c>
      <c r="K26" s="10" t="str">
        <f t="shared" si="0"/>
        <v>S1</v>
      </c>
      <c r="L26" s="26" t="s">
        <v>217</v>
      </c>
      <c r="M26" s="10" t="s">
        <v>47</v>
      </c>
      <c r="N26" s="10" t="s">
        <v>222</v>
      </c>
      <c r="O26" s="10" t="s">
        <v>961</v>
      </c>
      <c r="P26" s="13" t="s">
        <v>985</v>
      </c>
      <c r="Q26" s="10" t="s">
        <v>34</v>
      </c>
      <c r="R26" s="10"/>
      <c r="S26" s="10"/>
      <c r="T26" s="27"/>
      <c r="U26" s="30">
        <v>191.0338319088319</v>
      </c>
      <c r="V26" s="30">
        <v>0</v>
      </c>
      <c r="W26" s="30">
        <v>39.746786042240586</v>
      </c>
      <c r="X26" s="28"/>
      <c r="Y26" s="9"/>
      <c r="Z26" s="9"/>
      <c r="AA26" s="27"/>
      <c r="AB26" s="14" t="s">
        <v>35</v>
      </c>
      <c r="AC26" s="14" t="s">
        <v>35</v>
      </c>
      <c r="AD26" s="14" t="s">
        <v>35</v>
      </c>
      <c r="AE26" s="29"/>
      <c r="AF26" s="29"/>
      <c r="AG26" s="14" t="s">
        <v>35</v>
      </c>
      <c r="AH26" s="29"/>
      <c r="AI26" s="28"/>
      <c r="AJ26" s="3" t="s">
        <v>42</v>
      </c>
    </row>
    <row r="27" spans="2:37" ht="37.799999999999997" customHeight="1" x14ac:dyDescent="0.3">
      <c r="B27" s="13"/>
      <c r="C27" s="10">
        <v>52</v>
      </c>
      <c r="D27" s="76" t="s">
        <v>1043</v>
      </c>
      <c r="E27" s="10"/>
      <c r="F27" s="79" t="s">
        <v>1049</v>
      </c>
      <c r="G27" s="10"/>
      <c r="H27" s="10" t="s">
        <v>119</v>
      </c>
      <c r="I27" s="51" t="s">
        <v>223</v>
      </c>
      <c r="J27" s="10" t="s">
        <v>224</v>
      </c>
      <c r="K27" s="10" t="str">
        <f t="shared" si="0"/>
        <v>S1</v>
      </c>
      <c r="L27" s="26" t="s">
        <v>225</v>
      </c>
      <c r="M27" s="10" t="s">
        <v>47</v>
      </c>
      <c r="N27" s="10" t="s">
        <v>226</v>
      </c>
      <c r="O27" s="10" t="s">
        <v>958</v>
      </c>
      <c r="P27" s="13" t="s">
        <v>985</v>
      </c>
      <c r="Q27" s="10" t="s">
        <v>34</v>
      </c>
      <c r="R27" s="10"/>
      <c r="S27" s="10"/>
      <c r="T27" s="27"/>
      <c r="U27" s="30">
        <v>116.00569800569801</v>
      </c>
      <c r="V27" s="30">
        <v>0</v>
      </c>
      <c r="W27" s="30">
        <v>17.520919421487601</v>
      </c>
      <c r="X27" s="28"/>
      <c r="Y27" s="9"/>
      <c r="Z27" s="9"/>
      <c r="AA27" s="27"/>
      <c r="AB27" s="14" t="s">
        <v>35</v>
      </c>
      <c r="AC27" s="14" t="s">
        <v>35</v>
      </c>
      <c r="AD27" s="14" t="s">
        <v>35</v>
      </c>
      <c r="AE27" s="29"/>
      <c r="AF27" s="29"/>
      <c r="AG27" s="14" t="s">
        <v>35</v>
      </c>
      <c r="AH27" s="29"/>
      <c r="AI27" s="28"/>
      <c r="AJ27" s="3" t="s">
        <v>35</v>
      </c>
    </row>
    <row r="28" spans="2:37" ht="37.799999999999997" customHeight="1" x14ac:dyDescent="0.3">
      <c r="B28" s="13"/>
      <c r="C28" s="10">
        <v>53</v>
      </c>
      <c r="D28" s="76" t="s">
        <v>1043</v>
      </c>
      <c r="E28" s="10"/>
      <c r="F28" s="79" t="s">
        <v>1049</v>
      </c>
      <c r="G28" s="10"/>
      <c r="H28" s="10" t="s">
        <v>119</v>
      </c>
      <c r="I28" s="51" t="s">
        <v>227</v>
      </c>
      <c r="J28" s="10" t="s">
        <v>228</v>
      </c>
      <c r="K28" s="10" t="str">
        <f t="shared" si="0"/>
        <v>S1</v>
      </c>
      <c r="L28" s="26" t="s">
        <v>229</v>
      </c>
      <c r="M28" s="10" t="s">
        <v>47</v>
      </c>
      <c r="N28" s="10" t="s">
        <v>226</v>
      </c>
      <c r="O28" s="10" t="s">
        <v>958</v>
      </c>
      <c r="P28" s="13" t="s">
        <v>1010</v>
      </c>
      <c r="Q28" s="10" t="s">
        <v>34</v>
      </c>
      <c r="R28" s="10"/>
      <c r="S28" s="10"/>
      <c r="T28" s="27"/>
      <c r="U28" s="30">
        <v>107.37232905982906</v>
      </c>
      <c r="V28" s="30">
        <v>0</v>
      </c>
      <c r="W28" s="30">
        <v>17.520919421487601</v>
      </c>
      <c r="X28" s="28"/>
      <c r="Y28" s="9"/>
      <c r="Z28" s="9"/>
      <c r="AA28" s="27"/>
      <c r="AB28" s="14" t="s">
        <v>35</v>
      </c>
      <c r="AC28" s="14" t="s">
        <v>35</v>
      </c>
      <c r="AD28" s="14" t="s">
        <v>35</v>
      </c>
      <c r="AE28" s="29"/>
      <c r="AF28" s="29"/>
      <c r="AG28" s="14" t="s">
        <v>35</v>
      </c>
      <c r="AH28" s="29"/>
      <c r="AI28" s="28"/>
      <c r="AJ28" s="3" t="s">
        <v>35</v>
      </c>
      <c r="AK28" s="3" t="s">
        <v>126</v>
      </c>
    </row>
    <row r="29" spans="2:37" ht="37.799999999999997" customHeight="1" x14ac:dyDescent="0.3">
      <c r="B29" s="13"/>
      <c r="C29" s="10">
        <v>55</v>
      </c>
      <c r="D29" s="76" t="s">
        <v>1043</v>
      </c>
      <c r="E29" s="10" t="s">
        <v>1047</v>
      </c>
      <c r="F29" s="79" t="s">
        <v>1049</v>
      </c>
      <c r="G29" s="10"/>
      <c r="H29" s="10" t="s">
        <v>119</v>
      </c>
      <c r="I29" s="51" t="s">
        <v>233</v>
      </c>
      <c r="J29" s="10" t="s">
        <v>234</v>
      </c>
      <c r="K29" s="10" t="str">
        <f t="shared" si="0"/>
        <v>S1</v>
      </c>
      <c r="L29" s="26" t="s">
        <v>235</v>
      </c>
      <c r="M29" s="10" t="s">
        <v>47</v>
      </c>
      <c r="N29" s="10" t="s">
        <v>226</v>
      </c>
      <c r="O29" s="10" t="s">
        <v>960</v>
      </c>
      <c r="P29" s="13" t="s">
        <v>213</v>
      </c>
      <c r="Q29" s="10" t="s">
        <v>34</v>
      </c>
      <c r="R29" s="10"/>
      <c r="S29" s="10"/>
      <c r="T29" s="27"/>
      <c r="U29" s="30">
        <v>119.91577635327637</v>
      </c>
      <c r="V29" s="30">
        <v>0</v>
      </c>
      <c r="W29" s="30">
        <v>20.014118457300274</v>
      </c>
      <c r="X29" s="28"/>
      <c r="Y29" s="9"/>
      <c r="Z29" s="9"/>
      <c r="AA29" s="27"/>
      <c r="AB29" s="14" t="s">
        <v>35</v>
      </c>
      <c r="AC29" s="14" t="s">
        <v>35</v>
      </c>
      <c r="AD29" s="14" t="s">
        <v>35</v>
      </c>
      <c r="AE29" s="29"/>
      <c r="AF29" s="29"/>
      <c r="AG29" s="14" t="s">
        <v>35</v>
      </c>
      <c r="AH29" s="29"/>
      <c r="AI29" s="28"/>
      <c r="AJ29" s="3" t="s">
        <v>35</v>
      </c>
      <c r="AK29" s="3" t="s">
        <v>126</v>
      </c>
    </row>
    <row r="30" spans="2:37" ht="37.799999999999997" customHeight="1" x14ac:dyDescent="0.3">
      <c r="B30" s="13"/>
      <c r="C30" s="10">
        <v>167</v>
      </c>
      <c r="D30" s="76" t="s">
        <v>1043</v>
      </c>
      <c r="E30" s="10" t="s">
        <v>1047</v>
      </c>
      <c r="F30" s="79" t="s">
        <v>1049</v>
      </c>
      <c r="G30" s="10"/>
      <c r="H30" s="10" t="s">
        <v>119</v>
      </c>
      <c r="I30" s="51" t="s">
        <v>595</v>
      </c>
      <c r="J30" s="10" t="s">
        <v>596</v>
      </c>
      <c r="K30" s="10" t="str">
        <f t="shared" si="0"/>
        <v>S2</v>
      </c>
      <c r="L30" s="26" t="s">
        <v>597</v>
      </c>
      <c r="M30" s="10" t="s">
        <v>47</v>
      </c>
      <c r="N30" s="10" t="s">
        <v>222</v>
      </c>
      <c r="O30" s="10" t="s">
        <v>960</v>
      </c>
      <c r="P30" s="13" t="s">
        <v>213</v>
      </c>
      <c r="Q30" s="10" t="s">
        <v>34</v>
      </c>
      <c r="R30" s="10"/>
      <c r="S30" s="10"/>
      <c r="T30" s="27"/>
      <c r="U30" s="30">
        <v>280.80662393162396</v>
      </c>
      <c r="V30" s="30">
        <v>0</v>
      </c>
      <c r="W30" s="30">
        <v>50.624426078971524</v>
      </c>
      <c r="X30" s="28"/>
      <c r="Y30" s="9"/>
      <c r="Z30" s="9"/>
      <c r="AA30" s="27"/>
      <c r="AB30" s="14" t="s">
        <v>35</v>
      </c>
      <c r="AC30" s="14" t="s">
        <v>35</v>
      </c>
      <c r="AD30" s="14" t="s">
        <v>35</v>
      </c>
      <c r="AE30" s="29"/>
      <c r="AF30" s="29"/>
      <c r="AG30" s="14" t="s">
        <v>35</v>
      </c>
      <c r="AH30" s="29"/>
      <c r="AI30" s="28"/>
      <c r="AJ30" s="3" t="s">
        <v>35</v>
      </c>
      <c r="AK30" s="3" t="s">
        <v>126</v>
      </c>
    </row>
    <row r="31" spans="2:37" ht="37.799999999999997" customHeight="1" x14ac:dyDescent="0.3">
      <c r="B31" s="13"/>
      <c r="C31" s="10">
        <v>57</v>
      </c>
      <c r="D31" s="76" t="s">
        <v>1043</v>
      </c>
      <c r="E31" s="10"/>
      <c r="F31" s="10"/>
      <c r="G31" s="10"/>
      <c r="H31" s="10" t="s">
        <v>119</v>
      </c>
      <c r="I31" s="51" t="s">
        <v>239</v>
      </c>
      <c r="J31" s="10" t="s">
        <v>240</v>
      </c>
      <c r="K31" s="10" t="str">
        <f t="shared" si="0"/>
        <v>S1</v>
      </c>
      <c r="L31" s="26" t="s">
        <v>241</v>
      </c>
      <c r="M31" s="10" t="s">
        <v>47</v>
      </c>
      <c r="N31" s="10" t="s">
        <v>226</v>
      </c>
      <c r="O31" s="10" t="s">
        <v>951</v>
      </c>
      <c r="P31" s="13" t="s">
        <v>1010</v>
      </c>
      <c r="Q31" s="10" t="s">
        <v>34</v>
      </c>
      <c r="R31" s="10"/>
      <c r="S31" s="10"/>
      <c r="T31" s="27"/>
      <c r="U31" s="30">
        <v>12.88960113960114</v>
      </c>
      <c r="V31" s="30">
        <v>0</v>
      </c>
      <c r="W31" s="30">
        <v>0</v>
      </c>
      <c r="X31" s="28"/>
      <c r="Y31" s="9"/>
      <c r="Z31" s="9"/>
      <c r="AA31" s="27"/>
      <c r="AB31" s="29"/>
      <c r="AC31" s="29"/>
      <c r="AD31" s="14" t="s">
        <v>35</v>
      </c>
      <c r="AE31" s="29"/>
      <c r="AF31" s="29"/>
      <c r="AG31" s="29"/>
      <c r="AH31" s="29"/>
      <c r="AI31" s="28"/>
      <c r="AJ31" s="3" t="s">
        <v>35</v>
      </c>
      <c r="AK31" s="3" t="s">
        <v>126</v>
      </c>
    </row>
    <row r="32" spans="2:37" ht="37.799999999999997" customHeight="1" x14ac:dyDescent="0.3">
      <c r="B32" s="13"/>
      <c r="C32" s="10">
        <v>169</v>
      </c>
      <c r="D32" s="76" t="s">
        <v>1043</v>
      </c>
      <c r="E32" s="10"/>
      <c r="F32" s="79" t="s">
        <v>1049</v>
      </c>
      <c r="G32" s="10"/>
      <c r="H32" s="10" t="s">
        <v>119</v>
      </c>
      <c r="I32" s="51" t="s">
        <v>601</v>
      </c>
      <c r="J32" s="10" t="s">
        <v>602</v>
      </c>
      <c r="K32" s="10" t="str">
        <f t="shared" si="0"/>
        <v>S2</v>
      </c>
      <c r="L32" s="26" t="s">
        <v>603</v>
      </c>
      <c r="M32" s="10" t="s">
        <v>47</v>
      </c>
      <c r="N32" s="10" t="s">
        <v>222</v>
      </c>
      <c r="O32" s="10" t="s">
        <v>978</v>
      </c>
      <c r="P32" s="13" t="s">
        <v>213</v>
      </c>
      <c r="Q32" s="10" t="s">
        <v>34</v>
      </c>
      <c r="R32" s="10"/>
      <c r="S32" s="10"/>
      <c r="T32" s="27"/>
      <c r="U32" s="30">
        <v>156.51638176638176</v>
      </c>
      <c r="V32" s="30">
        <v>0</v>
      </c>
      <c r="W32" s="30">
        <v>16.760732323232322</v>
      </c>
      <c r="X32" s="28"/>
      <c r="Y32" s="9"/>
      <c r="Z32" s="9"/>
      <c r="AA32" s="27"/>
      <c r="AB32" s="14" t="s">
        <v>35</v>
      </c>
      <c r="AC32" s="14" t="s">
        <v>35</v>
      </c>
      <c r="AD32" s="14" t="s">
        <v>35</v>
      </c>
      <c r="AE32" s="29"/>
      <c r="AF32" s="29"/>
      <c r="AG32" s="14" t="s">
        <v>35</v>
      </c>
      <c r="AH32" s="29"/>
      <c r="AI32" s="28"/>
      <c r="AJ32" s="3" t="s">
        <v>42</v>
      </c>
    </row>
    <row r="33" spans="2:37" ht="37.799999999999997" customHeight="1" x14ac:dyDescent="0.3">
      <c r="B33" s="13"/>
      <c r="C33" s="10">
        <v>59</v>
      </c>
      <c r="D33" s="76" t="s">
        <v>1043</v>
      </c>
      <c r="E33" s="10"/>
      <c r="F33" s="79" t="s">
        <v>1049</v>
      </c>
      <c r="G33" s="10"/>
      <c r="H33" s="10" t="s">
        <v>119</v>
      </c>
      <c r="I33" s="51" t="s">
        <v>245</v>
      </c>
      <c r="J33" s="10" t="s">
        <v>246</v>
      </c>
      <c r="K33" s="10" t="str">
        <f t="shared" si="0"/>
        <v>S1</v>
      </c>
      <c r="L33" s="26" t="s">
        <v>247</v>
      </c>
      <c r="M33" s="10" t="s">
        <v>47</v>
      </c>
      <c r="N33" s="10" t="s">
        <v>226</v>
      </c>
      <c r="O33" s="10" t="s">
        <v>963</v>
      </c>
      <c r="P33" s="13" t="s">
        <v>1010</v>
      </c>
      <c r="Q33" s="10" t="s">
        <v>34</v>
      </c>
      <c r="R33" s="10"/>
      <c r="S33" s="10"/>
      <c r="T33" s="27"/>
      <c r="U33" s="30">
        <v>22.09615384615385</v>
      </c>
      <c r="V33" s="30">
        <v>0</v>
      </c>
      <c r="W33" s="30">
        <v>2.2008149678604223</v>
      </c>
      <c r="X33" s="28"/>
      <c r="Y33" s="9"/>
      <c r="Z33" s="9"/>
      <c r="AA33" s="27"/>
      <c r="AB33" s="29"/>
      <c r="AC33" s="14" t="s">
        <v>35</v>
      </c>
      <c r="AD33" s="14" t="s">
        <v>35</v>
      </c>
      <c r="AE33" s="29"/>
      <c r="AF33" s="29"/>
      <c r="AG33" s="14" t="s">
        <v>35</v>
      </c>
      <c r="AH33" s="29"/>
      <c r="AI33" s="28"/>
      <c r="AJ33" s="3" t="s">
        <v>42</v>
      </c>
    </row>
    <row r="34" spans="2:37" ht="37.799999999999997" customHeight="1" x14ac:dyDescent="0.3">
      <c r="B34" s="13"/>
      <c r="C34" s="10">
        <v>170</v>
      </c>
      <c r="D34" s="76" t="s">
        <v>1043</v>
      </c>
      <c r="E34" s="10"/>
      <c r="F34" s="79" t="s">
        <v>1049</v>
      </c>
      <c r="G34" s="10"/>
      <c r="H34" s="10" t="s">
        <v>119</v>
      </c>
      <c r="I34" s="51" t="s">
        <v>604</v>
      </c>
      <c r="J34" s="10" t="s">
        <v>605</v>
      </c>
      <c r="K34" s="10" t="str">
        <f t="shared" si="0"/>
        <v>S2</v>
      </c>
      <c r="L34" s="26" t="s">
        <v>606</v>
      </c>
      <c r="M34" s="10" t="s">
        <v>47</v>
      </c>
      <c r="N34" s="10" t="s">
        <v>222</v>
      </c>
      <c r="O34" s="10" t="s">
        <v>962</v>
      </c>
      <c r="P34" s="13" t="s">
        <v>33</v>
      </c>
      <c r="Q34" s="10" t="s">
        <v>34</v>
      </c>
      <c r="R34" s="10"/>
      <c r="S34" s="10"/>
      <c r="T34" s="27"/>
      <c r="U34" s="30">
        <v>16.57229344729345</v>
      </c>
      <c r="V34" s="30">
        <v>0</v>
      </c>
      <c r="W34" s="30">
        <v>3.1850034435261709</v>
      </c>
      <c r="X34" s="28"/>
      <c r="Y34" s="9"/>
      <c r="Z34" s="9"/>
      <c r="AA34" s="27"/>
      <c r="AB34" s="29"/>
      <c r="AC34" s="29"/>
      <c r="AD34" s="14" t="s">
        <v>35</v>
      </c>
      <c r="AE34" s="29"/>
      <c r="AF34" s="29"/>
      <c r="AG34" s="14" t="s">
        <v>35</v>
      </c>
      <c r="AH34" s="29"/>
      <c r="AI34" s="28"/>
      <c r="AJ34" s="3" t="s">
        <v>35</v>
      </c>
      <c r="AK34" s="3" t="s">
        <v>59</v>
      </c>
    </row>
    <row r="35" spans="2:37" ht="37.799999999999997" customHeight="1" x14ac:dyDescent="0.3">
      <c r="B35" s="13"/>
      <c r="C35" s="10">
        <v>171</v>
      </c>
      <c r="D35" s="76" t="s">
        <v>1043</v>
      </c>
      <c r="E35" s="10"/>
      <c r="F35" s="79" t="s">
        <v>1049</v>
      </c>
      <c r="G35" s="10"/>
      <c r="H35" s="10" t="s">
        <v>119</v>
      </c>
      <c r="I35" s="51" t="s">
        <v>607</v>
      </c>
      <c r="J35" s="10" t="s">
        <v>608</v>
      </c>
      <c r="K35" s="10" t="str">
        <f t="shared" si="0"/>
        <v>S2</v>
      </c>
      <c r="L35" s="26" t="s">
        <v>606</v>
      </c>
      <c r="M35" s="10" t="s">
        <v>47</v>
      </c>
      <c r="N35" s="10" t="s">
        <v>222</v>
      </c>
      <c r="O35" s="10" t="s">
        <v>962</v>
      </c>
      <c r="P35" s="13" t="s">
        <v>33</v>
      </c>
      <c r="Q35" s="10" t="s">
        <v>34</v>
      </c>
      <c r="R35" s="10"/>
      <c r="S35" s="10"/>
      <c r="T35" s="27"/>
      <c r="U35" s="30">
        <v>21.175925925925927</v>
      </c>
      <c r="V35" s="30">
        <v>0</v>
      </c>
      <c r="W35" s="30">
        <v>2.729998852157943</v>
      </c>
      <c r="X35" s="28"/>
      <c r="Y35" s="9"/>
      <c r="Z35" s="9"/>
      <c r="AA35" s="27"/>
      <c r="AB35" s="29"/>
      <c r="AC35" s="29"/>
      <c r="AD35" s="14" t="s">
        <v>35</v>
      </c>
      <c r="AE35" s="29"/>
      <c r="AF35" s="29"/>
      <c r="AG35" s="14" t="s">
        <v>35</v>
      </c>
      <c r="AH35" s="29"/>
      <c r="AI35" s="28"/>
      <c r="AJ35" s="3" t="s">
        <v>35</v>
      </c>
      <c r="AK35" s="3" t="s">
        <v>59</v>
      </c>
    </row>
    <row r="36" spans="2:37" ht="37.799999999999997" customHeight="1" x14ac:dyDescent="0.3">
      <c r="B36" s="13"/>
      <c r="C36" s="10">
        <v>60</v>
      </c>
      <c r="D36" s="76" t="s">
        <v>1043</v>
      </c>
      <c r="E36" s="10" t="s">
        <v>1042</v>
      </c>
      <c r="F36" s="79" t="s">
        <v>1049</v>
      </c>
      <c r="G36" s="10"/>
      <c r="H36" s="10" t="s">
        <v>119</v>
      </c>
      <c r="I36" s="51" t="s">
        <v>248</v>
      </c>
      <c r="J36" s="10" t="s">
        <v>249</v>
      </c>
      <c r="K36" s="10" t="str">
        <f t="shared" si="0"/>
        <v>S1</v>
      </c>
      <c r="L36" s="26" t="s">
        <v>250</v>
      </c>
      <c r="M36" s="10" t="s">
        <v>47</v>
      </c>
      <c r="N36" s="10" t="s">
        <v>226</v>
      </c>
      <c r="O36" s="10" t="s">
        <v>964</v>
      </c>
      <c r="P36" s="13" t="s">
        <v>985</v>
      </c>
      <c r="Q36" s="10" t="s">
        <v>34</v>
      </c>
      <c r="R36" s="37" t="s">
        <v>251</v>
      </c>
      <c r="S36" s="10"/>
      <c r="T36" s="27"/>
      <c r="U36" s="30">
        <v>157.20192307692307</v>
      </c>
      <c r="V36" s="30">
        <v>0</v>
      </c>
      <c r="W36" s="30">
        <v>17.24345730027548</v>
      </c>
      <c r="X36" s="28"/>
      <c r="Y36" s="9"/>
      <c r="Z36" s="9"/>
      <c r="AA36" s="27"/>
      <c r="AB36" s="14" t="s">
        <v>35</v>
      </c>
      <c r="AC36" s="29"/>
      <c r="AD36" s="14" t="s">
        <v>35</v>
      </c>
      <c r="AE36" s="14" t="s">
        <v>35</v>
      </c>
      <c r="AF36" s="14" t="s">
        <v>35</v>
      </c>
      <c r="AG36" s="14" t="s">
        <v>35</v>
      </c>
      <c r="AH36" s="29"/>
      <c r="AI36" s="28"/>
      <c r="AJ36" s="3" t="s">
        <v>42</v>
      </c>
      <c r="AK36" s="3" t="s">
        <v>43</v>
      </c>
    </row>
    <row r="37" spans="2:37" ht="37.799999999999997" customHeight="1" x14ac:dyDescent="0.3">
      <c r="B37" s="13"/>
      <c r="C37" s="10">
        <v>63</v>
      </c>
      <c r="D37" s="76" t="s">
        <v>1043</v>
      </c>
      <c r="E37" s="10" t="s">
        <v>1042</v>
      </c>
      <c r="F37" s="79" t="s">
        <v>1049</v>
      </c>
      <c r="G37" s="10"/>
      <c r="H37" s="10" t="s">
        <v>119</v>
      </c>
      <c r="I37" s="51" t="s">
        <v>260</v>
      </c>
      <c r="J37" s="10" t="s">
        <v>261</v>
      </c>
      <c r="K37" s="10" t="str">
        <f t="shared" si="0"/>
        <v>S1</v>
      </c>
      <c r="L37" s="26" t="s">
        <v>262</v>
      </c>
      <c r="M37" s="10" t="s">
        <v>47</v>
      </c>
      <c r="N37" s="10" t="s">
        <v>226</v>
      </c>
      <c r="O37" s="10" t="s">
        <v>965</v>
      </c>
      <c r="P37" s="13" t="s">
        <v>1010</v>
      </c>
      <c r="Q37" s="10" t="s">
        <v>34</v>
      </c>
      <c r="R37" s="37" t="s">
        <v>263</v>
      </c>
      <c r="S37" s="10"/>
      <c r="T37" s="27"/>
      <c r="U37" s="30">
        <v>144.54665242165242</v>
      </c>
      <c r="V37" s="30">
        <v>11.850710888249584</v>
      </c>
      <c r="W37" s="30">
        <v>10.125200872359962</v>
      </c>
      <c r="X37" s="28"/>
      <c r="Y37" s="9"/>
      <c r="Z37" s="9"/>
      <c r="AA37" s="27"/>
      <c r="AB37" s="14" t="s">
        <v>35</v>
      </c>
      <c r="AC37" s="14" t="s">
        <v>35</v>
      </c>
      <c r="AD37" s="14" t="s">
        <v>35</v>
      </c>
      <c r="AE37" s="14" t="s">
        <v>35</v>
      </c>
      <c r="AF37" s="29"/>
      <c r="AG37" s="14" t="s">
        <v>35</v>
      </c>
      <c r="AH37" s="29"/>
      <c r="AI37" s="28"/>
      <c r="AJ37" s="3" t="s">
        <v>42</v>
      </c>
      <c r="AK37" s="3" t="s">
        <v>43</v>
      </c>
    </row>
    <row r="38" spans="2:37" ht="37.799999999999997" customHeight="1" x14ac:dyDescent="0.3">
      <c r="B38" s="13"/>
      <c r="C38" s="13">
        <v>1107</v>
      </c>
      <c r="D38" s="76" t="s">
        <v>1043</v>
      </c>
      <c r="E38" s="10"/>
      <c r="F38" s="79" t="s">
        <v>1049</v>
      </c>
      <c r="G38" s="10"/>
      <c r="H38" s="10" t="s">
        <v>119</v>
      </c>
      <c r="I38" s="10" t="str">
        <f>RIGHT(J38,LEN(J38)-3)</f>
        <v>S3006</v>
      </c>
      <c r="J38" s="34" t="s">
        <v>1014</v>
      </c>
      <c r="K38" s="10" t="s">
        <v>989</v>
      </c>
      <c r="L38" s="73" t="s">
        <v>1025</v>
      </c>
      <c r="M38" s="10" t="s">
        <v>47</v>
      </c>
      <c r="N38" s="10" t="s">
        <v>222</v>
      </c>
      <c r="O38" s="10" t="s">
        <v>1033</v>
      </c>
      <c r="P38" s="13" t="s">
        <v>1010</v>
      </c>
      <c r="Q38" s="10" t="s">
        <v>1011</v>
      </c>
      <c r="R38" s="10"/>
      <c r="S38" s="10"/>
      <c r="T38" s="27"/>
      <c r="U38" s="30">
        <v>0</v>
      </c>
      <c r="V38" s="30">
        <v>0</v>
      </c>
      <c r="W38" s="30">
        <v>0</v>
      </c>
      <c r="X38" s="28"/>
      <c r="Y38" s="9"/>
      <c r="Z38" s="9"/>
      <c r="AA38" s="27"/>
      <c r="AB38" s="14" t="s">
        <v>35</v>
      </c>
      <c r="AC38" s="14" t="s">
        <v>35</v>
      </c>
      <c r="AD38" s="14" t="s">
        <v>35</v>
      </c>
      <c r="AE38" s="29"/>
      <c r="AF38" s="29"/>
      <c r="AG38" s="14" t="s">
        <v>35</v>
      </c>
      <c r="AH38" s="29"/>
      <c r="AI38" s="28"/>
      <c r="AJ38" s="3" t="s">
        <v>42</v>
      </c>
      <c r="AK38" s="3" t="s">
        <v>43</v>
      </c>
    </row>
    <row r="39" spans="2:37" ht="37.799999999999997" customHeight="1" x14ac:dyDescent="0.3">
      <c r="B39" s="13"/>
      <c r="C39" s="10">
        <v>64</v>
      </c>
      <c r="D39" s="76" t="s">
        <v>1043</v>
      </c>
      <c r="E39" s="10" t="s">
        <v>1042</v>
      </c>
      <c r="F39" s="79" t="s">
        <v>1049</v>
      </c>
      <c r="G39" s="10"/>
      <c r="H39" s="10" t="s">
        <v>119</v>
      </c>
      <c r="I39" s="51" t="s">
        <v>264</v>
      </c>
      <c r="J39" s="10" t="s">
        <v>265</v>
      </c>
      <c r="K39" s="10" t="str">
        <f>+LEFT(J39,2)</f>
        <v>S1</v>
      </c>
      <c r="L39" s="26" t="s">
        <v>266</v>
      </c>
      <c r="M39" s="10" t="s">
        <v>47</v>
      </c>
      <c r="N39" s="10" t="s">
        <v>226</v>
      </c>
      <c r="O39" s="10" t="s">
        <v>964</v>
      </c>
      <c r="P39" s="13" t="s">
        <v>985</v>
      </c>
      <c r="Q39" s="10" t="s">
        <v>34</v>
      </c>
      <c r="R39" s="37" t="s">
        <v>267</v>
      </c>
      <c r="S39" s="10"/>
      <c r="T39" s="27"/>
      <c r="U39" s="30">
        <v>134.41987179487182</v>
      </c>
      <c r="V39" s="30">
        <v>11.850710888249584</v>
      </c>
      <c r="W39" s="30">
        <v>15.608413682277318</v>
      </c>
      <c r="X39" s="28"/>
      <c r="Y39" s="9"/>
      <c r="Z39" s="9"/>
      <c r="AA39" s="27"/>
      <c r="AB39" s="14" t="s">
        <v>35</v>
      </c>
      <c r="AC39" s="29"/>
      <c r="AD39" s="14" t="s">
        <v>35</v>
      </c>
      <c r="AE39" s="14" t="s">
        <v>35</v>
      </c>
      <c r="AF39" s="29"/>
      <c r="AG39" s="14" t="s">
        <v>35</v>
      </c>
      <c r="AH39" s="29"/>
      <c r="AI39" s="28"/>
      <c r="AJ39" s="3" t="s">
        <v>42</v>
      </c>
      <c r="AK39" s="3" t="s">
        <v>43</v>
      </c>
    </row>
    <row r="40" spans="2:37" ht="37.799999999999997" customHeight="1" x14ac:dyDescent="0.3">
      <c r="B40" s="13"/>
      <c r="C40" s="13">
        <v>1108</v>
      </c>
      <c r="D40" s="76" t="s">
        <v>1043</v>
      </c>
      <c r="E40" s="10"/>
      <c r="F40" s="79" t="s">
        <v>1049</v>
      </c>
      <c r="G40" s="10"/>
      <c r="H40" s="10" t="s">
        <v>119</v>
      </c>
      <c r="I40" s="10" t="str">
        <f>RIGHT(J40,LEN(J40)-3)</f>
        <v>S3008</v>
      </c>
      <c r="J40" s="34" t="s">
        <v>1015</v>
      </c>
      <c r="K40" s="10" t="s">
        <v>989</v>
      </c>
      <c r="L40" s="73" t="s">
        <v>1025</v>
      </c>
      <c r="M40" s="10" t="s">
        <v>47</v>
      </c>
      <c r="N40" s="10" t="s">
        <v>222</v>
      </c>
      <c r="O40" s="10" t="s">
        <v>1033</v>
      </c>
      <c r="P40" s="13" t="s">
        <v>1010</v>
      </c>
      <c r="Q40" s="10" t="s">
        <v>1011</v>
      </c>
      <c r="R40" s="10"/>
      <c r="S40" s="10"/>
      <c r="T40" s="27"/>
      <c r="U40" s="30">
        <v>0</v>
      </c>
      <c r="V40" s="30">
        <v>0</v>
      </c>
      <c r="W40" s="30">
        <v>0</v>
      </c>
      <c r="X40" s="28"/>
      <c r="Y40" s="9"/>
      <c r="Z40" s="9"/>
      <c r="AA40" s="27"/>
      <c r="AB40" s="14" t="s">
        <v>35</v>
      </c>
      <c r="AC40" s="14" t="s">
        <v>35</v>
      </c>
      <c r="AD40" s="14" t="s">
        <v>35</v>
      </c>
      <c r="AE40" s="29"/>
      <c r="AF40" s="29"/>
      <c r="AG40" s="14" t="s">
        <v>35</v>
      </c>
      <c r="AH40" s="29"/>
      <c r="AI40" s="28"/>
      <c r="AJ40" s="3" t="s">
        <v>42</v>
      </c>
      <c r="AK40" s="3" t="s">
        <v>43</v>
      </c>
    </row>
    <row r="41" spans="2:37" ht="37.799999999999997" customHeight="1" x14ac:dyDescent="0.3">
      <c r="B41" s="13"/>
      <c r="C41" s="10">
        <v>65</v>
      </c>
      <c r="D41" s="76" t="s">
        <v>1043</v>
      </c>
      <c r="E41" s="10" t="s">
        <v>1042</v>
      </c>
      <c r="F41" s="79" t="s">
        <v>1049</v>
      </c>
      <c r="G41" s="10"/>
      <c r="H41" s="10" t="s">
        <v>119</v>
      </c>
      <c r="I41" s="51" t="s">
        <v>268</v>
      </c>
      <c r="J41" s="10" t="s">
        <v>269</v>
      </c>
      <c r="K41" s="10" t="str">
        <f t="shared" ref="K41:K53" si="1">+LEFT(J41,2)</f>
        <v>S1</v>
      </c>
      <c r="L41" s="26" t="s">
        <v>270</v>
      </c>
      <c r="M41" s="10" t="s">
        <v>47</v>
      </c>
      <c r="N41" s="10" t="s">
        <v>226</v>
      </c>
      <c r="O41" s="10" t="s">
        <v>964</v>
      </c>
      <c r="P41" s="13" t="s">
        <v>33</v>
      </c>
      <c r="Q41" s="10" t="s">
        <v>34</v>
      </c>
      <c r="R41" s="37" t="s">
        <v>271</v>
      </c>
      <c r="S41" s="10"/>
      <c r="T41" s="27"/>
      <c r="U41" s="30">
        <v>169.40028490028493</v>
      </c>
      <c r="V41" s="30">
        <v>11.850710888249584</v>
      </c>
      <c r="W41" s="30">
        <v>41.870236455463726</v>
      </c>
      <c r="X41" s="28"/>
      <c r="Y41" s="9"/>
      <c r="Z41" s="9"/>
      <c r="AA41" s="27"/>
      <c r="AB41" s="14" t="s">
        <v>35</v>
      </c>
      <c r="AC41" s="29"/>
      <c r="AD41" s="14" t="s">
        <v>35</v>
      </c>
      <c r="AE41" s="14" t="s">
        <v>35</v>
      </c>
      <c r="AF41" s="29"/>
      <c r="AG41" s="14" t="s">
        <v>35</v>
      </c>
      <c r="AH41" s="29"/>
      <c r="AI41" s="28"/>
      <c r="AJ41" s="3" t="s">
        <v>42</v>
      </c>
      <c r="AK41" s="3" t="s">
        <v>43</v>
      </c>
    </row>
    <row r="42" spans="2:37" ht="37.799999999999997" customHeight="1" x14ac:dyDescent="0.3">
      <c r="B42" s="13"/>
      <c r="C42" s="10">
        <v>66</v>
      </c>
      <c r="D42" s="76" t="s">
        <v>1043</v>
      </c>
      <c r="E42" s="10" t="s">
        <v>1047</v>
      </c>
      <c r="F42" s="79" t="s">
        <v>1049</v>
      </c>
      <c r="G42" s="10"/>
      <c r="H42" s="10" t="s">
        <v>119</v>
      </c>
      <c r="I42" s="51" t="s">
        <v>272</v>
      </c>
      <c r="J42" s="10" t="s">
        <v>273</v>
      </c>
      <c r="K42" s="10" t="str">
        <f t="shared" si="1"/>
        <v>S1</v>
      </c>
      <c r="L42" s="26" t="s">
        <v>274</v>
      </c>
      <c r="M42" s="10" t="s">
        <v>47</v>
      </c>
      <c r="N42" s="10" t="s">
        <v>226</v>
      </c>
      <c r="O42" s="10" t="s">
        <v>966</v>
      </c>
      <c r="P42" s="13" t="s">
        <v>33</v>
      </c>
      <c r="Q42" s="10" t="s">
        <v>34</v>
      </c>
      <c r="R42" s="10"/>
      <c r="S42" s="10"/>
      <c r="T42" s="27"/>
      <c r="U42" s="30">
        <v>136.71759259259261</v>
      </c>
      <c r="V42" s="30">
        <v>0</v>
      </c>
      <c r="W42" s="30">
        <v>8.5879247015610645</v>
      </c>
      <c r="X42" s="28"/>
      <c r="Y42" s="9"/>
      <c r="Z42" s="9"/>
      <c r="AA42" s="27"/>
      <c r="AB42" s="14" t="s">
        <v>35</v>
      </c>
      <c r="AC42" s="14" t="s">
        <v>35</v>
      </c>
      <c r="AD42" s="14" t="s">
        <v>35</v>
      </c>
      <c r="AE42" s="29"/>
      <c r="AF42" s="29"/>
      <c r="AG42" s="14" t="s">
        <v>35</v>
      </c>
      <c r="AH42" s="29"/>
      <c r="AI42" s="28"/>
      <c r="AJ42" s="3" t="s">
        <v>171</v>
      </c>
      <c r="AK42" s="3" t="s">
        <v>172</v>
      </c>
    </row>
    <row r="43" spans="2:37" ht="37.799999999999997" customHeight="1" x14ac:dyDescent="0.3">
      <c r="B43" s="13"/>
      <c r="C43" s="10">
        <v>67</v>
      </c>
      <c r="D43" s="76" t="s">
        <v>1043</v>
      </c>
      <c r="E43" s="10"/>
      <c r="F43" s="79" t="s">
        <v>1049</v>
      </c>
      <c r="G43" s="10"/>
      <c r="H43" s="10" t="s">
        <v>119</v>
      </c>
      <c r="I43" s="51" t="s">
        <v>275</v>
      </c>
      <c r="J43" s="10" t="s">
        <v>922</v>
      </c>
      <c r="K43" s="10" t="str">
        <f t="shared" si="1"/>
        <v>S2</v>
      </c>
      <c r="L43" s="26" t="s">
        <v>276</v>
      </c>
      <c r="M43" s="10" t="s">
        <v>47</v>
      </c>
      <c r="N43" s="10" t="s">
        <v>226</v>
      </c>
      <c r="O43" s="10" t="s">
        <v>964</v>
      </c>
      <c r="P43" s="13" t="s">
        <v>1010</v>
      </c>
      <c r="Q43" s="10" t="s">
        <v>34</v>
      </c>
      <c r="R43" s="37" t="s">
        <v>277</v>
      </c>
      <c r="S43" s="10"/>
      <c r="T43" s="27"/>
      <c r="U43" s="30">
        <v>69.051638176638178</v>
      </c>
      <c r="V43" s="30">
        <v>11.85066889632107</v>
      </c>
      <c r="W43" s="30">
        <v>12.455836776859503</v>
      </c>
      <c r="X43" s="28"/>
      <c r="Y43" s="9"/>
      <c r="Z43" s="9"/>
      <c r="AA43" s="27"/>
      <c r="AB43" s="14" t="s">
        <v>35</v>
      </c>
      <c r="AC43" s="29"/>
      <c r="AD43" s="14" t="s">
        <v>35</v>
      </c>
      <c r="AE43" s="14" t="s">
        <v>35</v>
      </c>
      <c r="AF43" s="29"/>
      <c r="AG43" s="14" t="s">
        <v>35</v>
      </c>
      <c r="AH43" s="29"/>
      <c r="AI43" s="28"/>
      <c r="AJ43" s="3" t="s">
        <v>171</v>
      </c>
      <c r="AK43" s="3" t="s">
        <v>172</v>
      </c>
    </row>
    <row r="44" spans="2:37" ht="37.799999999999997" customHeight="1" x14ac:dyDescent="0.3">
      <c r="B44" s="13"/>
      <c r="C44" s="10">
        <v>68</v>
      </c>
      <c r="D44" s="76" t="s">
        <v>1043</v>
      </c>
      <c r="E44" s="10"/>
      <c r="F44" s="79" t="s">
        <v>1049</v>
      </c>
      <c r="G44" s="10"/>
      <c r="H44" s="10" t="s">
        <v>119</v>
      </c>
      <c r="I44" s="51" t="s">
        <v>278</v>
      </c>
      <c r="J44" s="10" t="s">
        <v>923</v>
      </c>
      <c r="K44" s="10" t="str">
        <f t="shared" si="1"/>
        <v>S2</v>
      </c>
      <c r="L44" s="26" t="s">
        <v>276</v>
      </c>
      <c r="M44" s="10" t="s">
        <v>47</v>
      </c>
      <c r="N44" s="10" t="s">
        <v>226</v>
      </c>
      <c r="O44" s="10" t="s">
        <v>964</v>
      </c>
      <c r="P44" s="13" t="s">
        <v>985</v>
      </c>
      <c r="Q44" s="10" t="s">
        <v>34</v>
      </c>
      <c r="R44" s="37" t="s">
        <v>279</v>
      </c>
      <c r="S44" s="10"/>
      <c r="T44" s="27"/>
      <c r="U44" s="30">
        <v>61.686253561253565</v>
      </c>
      <c r="V44" s="30">
        <v>11.850710888249584</v>
      </c>
      <c r="W44" s="30">
        <v>7.6607839761248853</v>
      </c>
      <c r="X44" s="28"/>
      <c r="Y44" s="9"/>
      <c r="Z44" s="9"/>
      <c r="AA44" s="27"/>
      <c r="AB44" s="14" t="s">
        <v>35</v>
      </c>
      <c r="AC44" s="29"/>
      <c r="AD44" s="14" t="s">
        <v>35</v>
      </c>
      <c r="AE44" s="14" t="s">
        <v>35</v>
      </c>
      <c r="AF44" s="29"/>
      <c r="AG44" s="14" t="s">
        <v>35</v>
      </c>
      <c r="AH44" s="29"/>
      <c r="AI44" s="28"/>
      <c r="AJ44" s="3" t="s">
        <v>183</v>
      </c>
      <c r="AK44" s="3" t="s">
        <v>184</v>
      </c>
    </row>
    <row r="45" spans="2:37" ht="37.799999999999997" customHeight="1" x14ac:dyDescent="0.3">
      <c r="B45" s="13"/>
      <c r="C45" s="10">
        <v>172</v>
      </c>
      <c r="D45" s="76" t="s">
        <v>1043</v>
      </c>
      <c r="E45" s="10"/>
      <c r="F45" s="79" t="s">
        <v>1049</v>
      </c>
      <c r="G45" s="10"/>
      <c r="H45" s="10" t="s">
        <v>119</v>
      </c>
      <c r="I45" s="51" t="s">
        <v>609</v>
      </c>
      <c r="J45" s="10" t="s">
        <v>610</v>
      </c>
      <c r="K45" s="10" t="str">
        <f t="shared" si="1"/>
        <v>S2</v>
      </c>
      <c r="L45" s="26" t="s">
        <v>611</v>
      </c>
      <c r="M45" s="10" t="s">
        <v>47</v>
      </c>
      <c r="N45" s="10" t="s">
        <v>222</v>
      </c>
      <c r="O45" s="10" t="s">
        <v>964</v>
      </c>
      <c r="P45" s="13" t="s">
        <v>213</v>
      </c>
      <c r="Q45" s="10" t="s">
        <v>34</v>
      </c>
      <c r="R45" s="37" t="s">
        <v>612</v>
      </c>
      <c r="S45" s="10"/>
      <c r="T45" s="27"/>
      <c r="U45" s="30">
        <v>42.351851851851855</v>
      </c>
      <c r="V45" s="30">
        <v>11.850710888249584</v>
      </c>
      <c r="W45" s="30">
        <v>5.459997704315886</v>
      </c>
      <c r="X45" s="28"/>
      <c r="Y45" s="9"/>
      <c r="Z45" s="9"/>
      <c r="AA45" s="27"/>
      <c r="AB45" s="14" t="s">
        <v>35</v>
      </c>
      <c r="AC45" s="29"/>
      <c r="AD45" s="14" t="s">
        <v>35</v>
      </c>
      <c r="AE45" s="14" t="s">
        <v>35</v>
      </c>
      <c r="AF45" s="29"/>
      <c r="AG45" s="14" t="s">
        <v>35</v>
      </c>
      <c r="AH45" s="29"/>
      <c r="AI45" s="28"/>
      <c r="AJ45" s="3" t="s">
        <v>35</v>
      </c>
      <c r="AK45" s="3" t="s">
        <v>59</v>
      </c>
    </row>
    <row r="46" spans="2:37" ht="37.799999999999997" customHeight="1" x14ac:dyDescent="0.3">
      <c r="B46" s="13"/>
      <c r="C46" s="10">
        <v>178</v>
      </c>
      <c r="D46" s="76" t="s">
        <v>1043</v>
      </c>
      <c r="E46" s="10"/>
      <c r="F46" s="79" t="s">
        <v>1049</v>
      </c>
      <c r="G46" s="10"/>
      <c r="H46" s="10" t="s">
        <v>119</v>
      </c>
      <c r="I46" s="51" t="s">
        <v>625</v>
      </c>
      <c r="J46" s="10" t="s">
        <v>626</v>
      </c>
      <c r="K46" s="10" t="str">
        <f t="shared" si="1"/>
        <v>S2</v>
      </c>
      <c r="L46" s="26" t="s">
        <v>627</v>
      </c>
      <c r="M46" s="10" t="s">
        <v>47</v>
      </c>
      <c r="N46" s="10" t="s">
        <v>628</v>
      </c>
      <c r="O46" s="10" t="s">
        <v>981</v>
      </c>
      <c r="P46" s="13" t="s">
        <v>1010</v>
      </c>
      <c r="Q46" s="10" t="s">
        <v>34</v>
      </c>
      <c r="R46" s="37" t="s">
        <v>629</v>
      </c>
      <c r="S46" s="34" t="s">
        <v>630</v>
      </c>
      <c r="T46" s="27"/>
      <c r="U46" s="30">
        <v>359.71652421652425</v>
      </c>
      <c r="V46" s="30">
        <v>543.05790821263417</v>
      </c>
      <c r="W46" s="30">
        <v>27.195161845730023</v>
      </c>
      <c r="X46" s="28"/>
      <c r="Y46" s="9"/>
      <c r="Z46" s="9"/>
      <c r="AA46" s="27"/>
      <c r="AB46" s="14" t="s">
        <v>35</v>
      </c>
      <c r="AC46" s="14" t="s">
        <v>35</v>
      </c>
      <c r="AD46" s="14" t="s">
        <v>35</v>
      </c>
      <c r="AE46" s="29"/>
      <c r="AF46" s="14" t="s">
        <v>35</v>
      </c>
      <c r="AG46" s="14" t="s">
        <v>35</v>
      </c>
      <c r="AH46" s="29"/>
      <c r="AI46" s="28"/>
      <c r="AJ46" s="3" t="s">
        <v>183</v>
      </c>
      <c r="AK46" s="3" t="s">
        <v>184</v>
      </c>
    </row>
    <row r="47" spans="2:37" ht="37.799999999999997" customHeight="1" x14ac:dyDescent="0.3">
      <c r="B47" s="13"/>
      <c r="C47" s="10">
        <v>91</v>
      </c>
      <c r="D47" s="76" t="s">
        <v>1043</v>
      </c>
      <c r="E47" s="10"/>
      <c r="F47" s="79" t="s">
        <v>1049</v>
      </c>
      <c r="G47" s="10"/>
      <c r="H47" s="10" t="s">
        <v>119</v>
      </c>
      <c r="I47" s="51" t="s">
        <v>333</v>
      </c>
      <c r="J47" s="10" t="s">
        <v>334</v>
      </c>
      <c r="K47" s="10" t="str">
        <f t="shared" si="1"/>
        <v>S1</v>
      </c>
      <c r="L47" s="26" t="s">
        <v>335</v>
      </c>
      <c r="M47" s="10" t="s">
        <v>47</v>
      </c>
      <c r="N47" s="10" t="s">
        <v>1051</v>
      </c>
      <c r="O47" s="10" t="s">
        <v>967</v>
      </c>
      <c r="P47" s="13" t="s">
        <v>1010</v>
      </c>
      <c r="Q47" s="10" t="s">
        <v>34</v>
      </c>
      <c r="R47" s="10"/>
      <c r="S47" s="10"/>
      <c r="T47" s="27"/>
      <c r="U47" s="30">
        <v>0</v>
      </c>
      <c r="V47" s="30">
        <v>0</v>
      </c>
      <c r="W47" s="30">
        <v>0.87921831955922858</v>
      </c>
      <c r="X47" s="28"/>
      <c r="Y47" s="9"/>
      <c r="Z47" s="9"/>
      <c r="AA47" s="27"/>
      <c r="AB47" s="29"/>
      <c r="AC47" s="14" t="s">
        <v>35</v>
      </c>
      <c r="AD47" s="29"/>
      <c r="AE47" s="29"/>
      <c r="AF47" s="29"/>
      <c r="AG47" s="14" t="s">
        <v>35</v>
      </c>
      <c r="AH47" s="29"/>
      <c r="AI47" s="28"/>
      <c r="AJ47" s="3" t="s">
        <v>42</v>
      </c>
    </row>
    <row r="48" spans="2:37" ht="37.799999999999997" customHeight="1" x14ac:dyDescent="0.3">
      <c r="B48" s="13"/>
      <c r="C48" s="10">
        <v>203</v>
      </c>
      <c r="D48" s="76" t="s">
        <v>1043</v>
      </c>
      <c r="E48" s="10"/>
      <c r="F48" s="79" t="s">
        <v>1049</v>
      </c>
      <c r="G48" s="10"/>
      <c r="H48" s="10" t="s">
        <v>119</v>
      </c>
      <c r="I48" s="51" t="s">
        <v>688</v>
      </c>
      <c r="J48" s="10" t="s">
        <v>689</v>
      </c>
      <c r="K48" s="10" t="str">
        <f t="shared" si="1"/>
        <v>S2</v>
      </c>
      <c r="L48" s="26" t="s">
        <v>690</v>
      </c>
      <c r="M48" s="10" t="s">
        <v>47</v>
      </c>
      <c r="N48" s="10" t="s">
        <v>941</v>
      </c>
      <c r="O48" s="10" t="s">
        <v>960</v>
      </c>
      <c r="P48" s="13" t="s">
        <v>33</v>
      </c>
      <c r="Q48" s="10" t="s">
        <v>34</v>
      </c>
      <c r="R48" s="10"/>
      <c r="S48" s="10" t="s">
        <v>692</v>
      </c>
      <c r="T48" s="27"/>
      <c r="U48" s="30">
        <v>58.956908831908834</v>
      </c>
      <c r="V48" s="30">
        <v>0</v>
      </c>
      <c r="W48" s="30">
        <v>4.9357495408631769</v>
      </c>
      <c r="X48" s="28"/>
      <c r="Y48" s="9"/>
      <c r="Z48" s="9"/>
      <c r="AA48" s="27"/>
      <c r="AB48" s="14" t="s">
        <v>35</v>
      </c>
      <c r="AC48" s="14" t="s">
        <v>35</v>
      </c>
      <c r="AD48" s="14" t="s">
        <v>35</v>
      </c>
      <c r="AE48" s="29"/>
      <c r="AF48" s="29"/>
      <c r="AG48" s="14" t="s">
        <v>35</v>
      </c>
      <c r="AH48" s="29"/>
      <c r="AI48" s="28"/>
      <c r="AJ48" s="3" t="s">
        <v>42</v>
      </c>
    </row>
    <row r="49" spans="2:37" ht="52.95" hidden="1" customHeight="1" x14ac:dyDescent="0.3">
      <c r="B49" s="13"/>
      <c r="C49" s="10">
        <v>214</v>
      </c>
      <c r="D49" s="75" t="s">
        <v>1036</v>
      </c>
      <c r="E49" s="51"/>
      <c r="F49" s="51"/>
      <c r="G49" s="10"/>
      <c r="H49" s="10" t="s">
        <v>109</v>
      </c>
      <c r="I49" s="51" t="s">
        <v>723</v>
      </c>
      <c r="J49" s="10" t="s">
        <v>724</v>
      </c>
      <c r="K49" s="10" t="str">
        <f t="shared" si="1"/>
        <v>S3</v>
      </c>
      <c r="L49" s="26" t="s">
        <v>725</v>
      </c>
      <c r="M49" s="10" t="s">
        <v>47</v>
      </c>
      <c r="N49" s="10" t="s">
        <v>445</v>
      </c>
      <c r="O49" s="10" t="s">
        <v>982</v>
      </c>
      <c r="P49" s="13" t="s">
        <v>33</v>
      </c>
      <c r="Q49" s="10" t="s">
        <v>34</v>
      </c>
      <c r="R49" s="10" t="s">
        <v>726</v>
      </c>
      <c r="S49" s="10"/>
      <c r="T49" s="27"/>
      <c r="U49" s="30">
        <v>170.78614672364674</v>
      </c>
      <c r="V49" s="30">
        <v>0</v>
      </c>
      <c r="W49" s="30">
        <v>0</v>
      </c>
      <c r="X49" s="28"/>
      <c r="Y49" s="9"/>
      <c r="Z49" s="9"/>
      <c r="AA49" s="27"/>
      <c r="AB49" s="14" t="s">
        <v>35</v>
      </c>
      <c r="AC49" s="29"/>
      <c r="AD49" s="14" t="s">
        <v>35</v>
      </c>
      <c r="AE49" s="14" t="s">
        <v>35</v>
      </c>
      <c r="AF49" s="14" t="s">
        <v>35</v>
      </c>
      <c r="AG49" s="29"/>
      <c r="AH49" s="29"/>
      <c r="AI49" s="28"/>
      <c r="AJ49" s="3" t="s">
        <v>42</v>
      </c>
    </row>
    <row r="50" spans="2:37" ht="52.95" hidden="1" customHeight="1" x14ac:dyDescent="0.3">
      <c r="B50" s="13"/>
      <c r="C50" s="10">
        <v>215</v>
      </c>
      <c r="D50" s="75" t="s">
        <v>1036</v>
      </c>
      <c r="E50" s="10"/>
      <c r="F50" s="10"/>
      <c r="G50" s="10"/>
      <c r="H50" s="10" t="s">
        <v>109</v>
      </c>
      <c r="I50" s="51" t="s">
        <v>727</v>
      </c>
      <c r="J50" s="10" t="s">
        <v>728</v>
      </c>
      <c r="K50" s="10" t="str">
        <f t="shared" si="1"/>
        <v>S3</v>
      </c>
      <c r="L50" s="26" t="s">
        <v>729</v>
      </c>
      <c r="M50" s="10" t="s">
        <v>47</v>
      </c>
      <c r="N50" s="10" t="s">
        <v>445</v>
      </c>
      <c r="O50" s="10" t="s">
        <v>982</v>
      </c>
      <c r="P50" s="13" t="s">
        <v>985</v>
      </c>
      <c r="Q50" s="10" t="s">
        <v>34</v>
      </c>
      <c r="R50" s="10" t="s">
        <v>730</v>
      </c>
      <c r="S50" s="10"/>
      <c r="T50" s="27"/>
      <c r="U50" s="30">
        <v>94.830306267806279</v>
      </c>
      <c r="V50" s="30">
        <v>0</v>
      </c>
      <c r="W50" s="30">
        <v>0</v>
      </c>
      <c r="X50" s="28"/>
      <c r="Y50" s="9"/>
      <c r="Z50" s="9"/>
      <c r="AA50" s="27"/>
      <c r="AB50" s="14" t="s">
        <v>35</v>
      </c>
      <c r="AC50" s="29"/>
      <c r="AD50" s="14" t="s">
        <v>35</v>
      </c>
      <c r="AE50" s="14" t="s">
        <v>35</v>
      </c>
      <c r="AF50" s="14" t="s">
        <v>35</v>
      </c>
      <c r="AG50" s="29"/>
      <c r="AH50" s="29"/>
      <c r="AI50" s="28"/>
      <c r="AJ50" s="3" t="s">
        <v>42</v>
      </c>
    </row>
    <row r="51" spans="2:37" ht="52.95" hidden="1" customHeight="1" x14ac:dyDescent="0.3">
      <c r="B51" s="13"/>
      <c r="C51" s="13">
        <v>231</v>
      </c>
      <c r="D51" s="75" t="s">
        <v>1036</v>
      </c>
      <c r="E51" s="10"/>
      <c r="F51" s="10"/>
      <c r="G51" s="10"/>
      <c r="H51" s="10" t="s">
        <v>109</v>
      </c>
      <c r="I51" s="51" t="s">
        <v>783</v>
      </c>
      <c r="J51" s="10" t="s">
        <v>784</v>
      </c>
      <c r="K51" s="10" t="str">
        <f t="shared" si="1"/>
        <v>S5</v>
      </c>
      <c r="L51" s="26" t="s">
        <v>758</v>
      </c>
      <c r="M51" s="10" t="s">
        <v>47</v>
      </c>
      <c r="N51" s="10" t="s">
        <v>445</v>
      </c>
      <c r="O51" s="10" t="s">
        <v>961</v>
      </c>
      <c r="P51" s="13" t="s">
        <v>1010</v>
      </c>
      <c r="Q51" s="10" t="s">
        <v>34</v>
      </c>
      <c r="R51" s="14" t="s">
        <v>785</v>
      </c>
      <c r="S51" s="10"/>
      <c r="T51" s="27"/>
      <c r="U51" s="30">
        <v>110.4814814814815</v>
      </c>
      <c r="V51" s="30">
        <v>0</v>
      </c>
      <c r="W51" s="30">
        <v>0</v>
      </c>
      <c r="X51" s="28"/>
      <c r="Y51" s="9"/>
      <c r="Z51" s="9"/>
      <c r="AA51" s="27"/>
      <c r="AB51" s="14" t="s">
        <v>35</v>
      </c>
      <c r="AC51" s="14" t="s">
        <v>35</v>
      </c>
      <c r="AD51" s="14" t="s">
        <v>35</v>
      </c>
      <c r="AE51" s="14" t="s">
        <v>35</v>
      </c>
      <c r="AF51" s="14" t="s">
        <v>35</v>
      </c>
      <c r="AG51" s="29"/>
      <c r="AH51" s="29"/>
      <c r="AI51" s="28"/>
      <c r="AJ51" s="3" t="s">
        <v>42</v>
      </c>
    </row>
    <row r="52" spans="2:37" ht="52.95" hidden="1" customHeight="1" x14ac:dyDescent="0.3">
      <c r="B52" s="13"/>
      <c r="C52" s="10">
        <v>224</v>
      </c>
      <c r="D52" s="75" t="s">
        <v>1036</v>
      </c>
      <c r="E52" s="10"/>
      <c r="F52" s="10"/>
      <c r="G52" s="10"/>
      <c r="H52" s="10" t="s">
        <v>109</v>
      </c>
      <c r="I52" s="51" t="s">
        <v>756</v>
      </c>
      <c r="J52" s="10" t="s">
        <v>757</v>
      </c>
      <c r="K52" s="10" t="str">
        <f t="shared" si="1"/>
        <v>S4</v>
      </c>
      <c r="L52" s="26" t="s">
        <v>758</v>
      </c>
      <c r="M52" s="10" t="s">
        <v>47</v>
      </c>
      <c r="N52" s="10" t="s">
        <v>445</v>
      </c>
      <c r="O52" s="10" t="s">
        <v>982</v>
      </c>
      <c r="P52" s="13" t="s">
        <v>33</v>
      </c>
      <c r="Q52" s="10" t="s">
        <v>34</v>
      </c>
      <c r="R52" s="10" t="s">
        <v>759</v>
      </c>
      <c r="S52" s="10"/>
      <c r="T52" s="27"/>
      <c r="U52" s="30">
        <v>84.242343304843317</v>
      </c>
      <c r="V52" s="30">
        <v>0</v>
      </c>
      <c r="W52" s="30">
        <v>0</v>
      </c>
      <c r="X52" s="28"/>
      <c r="Y52" s="9"/>
      <c r="Z52" s="9"/>
      <c r="AA52" s="27"/>
      <c r="AB52" s="14" t="s">
        <v>35</v>
      </c>
      <c r="AC52" s="29"/>
      <c r="AD52" s="14" t="s">
        <v>35</v>
      </c>
      <c r="AE52" s="14" t="s">
        <v>35</v>
      </c>
      <c r="AF52" s="14" t="s">
        <v>35</v>
      </c>
      <c r="AG52" s="29"/>
      <c r="AH52" s="29"/>
      <c r="AI52" s="28"/>
      <c r="AJ52" s="3" t="s">
        <v>42</v>
      </c>
    </row>
    <row r="53" spans="2:37" s="41" customFormat="1" ht="28.8" hidden="1" x14ac:dyDescent="0.3">
      <c r="B53" s="49"/>
      <c r="C53" s="42">
        <v>49</v>
      </c>
      <c r="D53" s="42"/>
      <c r="E53" s="42"/>
      <c r="F53" s="42"/>
      <c r="G53" s="42"/>
      <c r="H53" s="42" t="s">
        <v>119</v>
      </c>
      <c r="I53" s="42" t="s">
        <v>210</v>
      </c>
      <c r="J53" s="42" t="s">
        <v>211</v>
      </c>
      <c r="K53" s="42" t="str">
        <f t="shared" si="1"/>
        <v>S1</v>
      </c>
      <c r="L53" s="43" t="s">
        <v>212</v>
      </c>
      <c r="M53" s="42" t="s">
        <v>47</v>
      </c>
      <c r="N53" s="42" t="s">
        <v>181</v>
      </c>
      <c r="O53" s="52" t="s">
        <v>58</v>
      </c>
      <c r="P53" s="49" t="s">
        <v>213</v>
      </c>
      <c r="Q53" s="42" t="s">
        <v>1030</v>
      </c>
      <c r="R53" s="42"/>
      <c r="S53" s="44" t="s">
        <v>214</v>
      </c>
      <c r="T53" s="45"/>
      <c r="U53" s="46">
        <v>284.4889601139601</v>
      </c>
      <c r="V53" s="46">
        <v>0</v>
      </c>
      <c r="W53" s="46">
        <v>8.8098025711662071</v>
      </c>
      <c r="X53" s="47"/>
      <c r="Y53" s="9"/>
      <c r="Z53" s="9"/>
      <c r="AA53" s="27"/>
      <c r="AB53" s="48"/>
      <c r="AC53" s="48"/>
      <c r="AD53" s="14" t="s">
        <v>35</v>
      </c>
      <c r="AE53" s="48"/>
      <c r="AF53" s="48"/>
      <c r="AG53" s="14" t="s">
        <v>35</v>
      </c>
      <c r="AH53" s="48"/>
      <c r="AI53" s="47"/>
      <c r="AJ53" s="44" t="s">
        <v>214</v>
      </c>
      <c r="AK53" s="44" t="s">
        <v>214</v>
      </c>
    </row>
    <row r="54" spans="2:37" ht="52.95" hidden="1" customHeight="1" x14ac:dyDescent="0.3">
      <c r="B54" s="13"/>
      <c r="C54" s="13">
        <v>1080</v>
      </c>
      <c r="D54" s="75" t="s">
        <v>1036</v>
      </c>
      <c r="E54" s="10"/>
      <c r="F54" s="10"/>
      <c r="G54" s="10"/>
      <c r="H54" s="10" t="s">
        <v>109</v>
      </c>
      <c r="I54" s="10" t="s">
        <v>1037</v>
      </c>
      <c r="J54" s="34" t="s">
        <v>929</v>
      </c>
      <c r="K54" s="10" t="s">
        <v>990</v>
      </c>
      <c r="L54" s="10" t="s">
        <v>996</v>
      </c>
      <c r="M54" s="10" t="s">
        <v>47</v>
      </c>
      <c r="N54" s="10" t="s">
        <v>445</v>
      </c>
      <c r="O54" s="10" t="s">
        <v>966</v>
      </c>
      <c r="P54" s="13" t="s">
        <v>985</v>
      </c>
      <c r="Q54" s="10" t="s">
        <v>1011</v>
      </c>
      <c r="R54" s="10"/>
      <c r="S54" s="10"/>
      <c r="T54" s="27"/>
      <c r="U54" s="30">
        <v>0</v>
      </c>
      <c r="V54" s="30">
        <v>0</v>
      </c>
      <c r="W54" s="30">
        <v>0</v>
      </c>
      <c r="X54" s="28"/>
      <c r="Y54" s="9"/>
      <c r="Z54" s="9"/>
      <c r="AA54" s="27"/>
      <c r="AB54" s="14" t="s">
        <v>35</v>
      </c>
      <c r="AC54" s="14" t="s">
        <v>35</v>
      </c>
      <c r="AD54" s="14" t="s">
        <v>35</v>
      </c>
      <c r="AE54" s="29"/>
      <c r="AF54" s="29"/>
      <c r="AG54" s="29"/>
      <c r="AH54" s="29"/>
      <c r="AI54" s="28"/>
      <c r="AJ54" s="3" t="s">
        <v>42</v>
      </c>
    </row>
    <row r="55" spans="2:37" ht="52.95" hidden="1" customHeight="1" x14ac:dyDescent="0.3">
      <c r="B55" s="13"/>
      <c r="C55" s="10">
        <v>119</v>
      </c>
      <c r="D55" s="75" t="s">
        <v>1036</v>
      </c>
      <c r="E55" s="10"/>
      <c r="F55" s="10"/>
      <c r="G55" s="10"/>
      <c r="H55" s="10" t="s">
        <v>109</v>
      </c>
      <c r="I55" s="51" t="s">
        <v>447</v>
      </c>
      <c r="J55" s="10" t="s">
        <v>448</v>
      </c>
      <c r="K55" s="10" t="str">
        <f t="shared" ref="K55:K61" si="2">+LEFT(J55,2)</f>
        <v>S1</v>
      </c>
      <c r="L55" s="26" t="s">
        <v>444</v>
      </c>
      <c r="M55" s="10" t="s">
        <v>47</v>
      </c>
      <c r="N55" s="10" t="s">
        <v>445</v>
      </c>
      <c r="O55" s="10" t="s">
        <v>973</v>
      </c>
      <c r="P55" s="13" t="s">
        <v>1010</v>
      </c>
      <c r="Q55" s="10" t="s">
        <v>34</v>
      </c>
      <c r="R55" s="10" t="s">
        <v>449</v>
      </c>
      <c r="S55" s="10"/>
      <c r="T55" s="27"/>
      <c r="U55" s="30">
        <v>67.210292022792032</v>
      </c>
      <c r="V55" s="30">
        <v>0</v>
      </c>
      <c r="W55" s="30">
        <v>0</v>
      </c>
      <c r="X55" s="28"/>
      <c r="Y55" s="9"/>
      <c r="Z55" s="9"/>
      <c r="AA55" s="27"/>
      <c r="AB55" s="14" t="s">
        <v>35</v>
      </c>
      <c r="AC55" s="14" t="s">
        <v>35</v>
      </c>
      <c r="AD55" s="14" t="s">
        <v>35</v>
      </c>
      <c r="AE55" s="14" t="s">
        <v>35</v>
      </c>
      <c r="AF55" s="14" t="s">
        <v>35</v>
      </c>
      <c r="AG55" s="29"/>
      <c r="AH55" s="29"/>
      <c r="AI55" s="28"/>
      <c r="AJ55" s="3" t="s">
        <v>42</v>
      </c>
    </row>
    <row r="56" spans="2:37" ht="52.95" hidden="1" customHeight="1" x14ac:dyDescent="0.3">
      <c r="B56" s="13"/>
      <c r="C56" s="10">
        <v>232</v>
      </c>
      <c r="D56" s="75" t="s">
        <v>1036</v>
      </c>
      <c r="E56" s="10"/>
      <c r="F56" s="79" t="s">
        <v>1049</v>
      </c>
      <c r="G56" s="10"/>
      <c r="H56" s="10" t="s">
        <v>109</v>
      </c>
      <c r="I56" s="51" t="s">
        <v>786</v>
      </c>
      <c r="J56" s="10" t="s">
        <v>787</v>
      </c>
      <c r="K56" s="10" t="str">
        <f t="shared" si="2"/>
        <v>S5</v>
      </c>
      <c r="L56" s="26" t="s">
        <v>788</v>
      </c>
      <c r="M56" s="10" t="s">
        <v>47</v>
      </c>
      <c r="N56" s="10" t="s">
        <v>169</v>
      </c>
      <c r="O56" s="10" t="s">
        <v>960</v>
      </c>
      <c r="P56" s="13" t="s">
        <v>33</v>
      </c>
      <c r="Q56" s="10" t="s">
        <v>34</v>
      </c>
      <c r="R56" s="10"/>
      <c r="S56" s="10"/>
      <c r="T56" s="27"/>
      <c r="U56" s="30">
        <v>53.399394586894587</v>
      </c>
      <c r="V56" s="30">
        <v>0</v>
      </c>
      <c r="W56" s="30">
        <v>12.500516528925621</v>
      </c>
      <c r="X56" s="28"/>
      <c r="Y56" s="9"/>
      <c r="Z56" s="9"/>
      <c r="AA56" s="27"/>
      <c r="AB56" s="14" t="s">
        <v>35</v>
      </c>
      <c r="AC56" s="14" t="s">
        <v>35</v>
      </c>
      <c r="AD56" s="14" t="s">
        <v>35</v>
      </c>
      <c r="AE56" s="29"/>
      <c r="AF56" s="29"/>
      <c r="AG56" s="14" t="s">
        <v>35</v>
      </c>
      <c r="AH56" s="29"/>
      <c r="AI56" s="28"/>
      <c r="AJ56" s="3" t="s">
        <v>42</v>
      </c>
    </row>
    <row r="57" spans="2:37" ht="52.95" hidden="1" customHeight="1" x14ac:dyDescent="0.3">
      <c r="B57" s="13"/>
      <c r="C57" s="10">
        <v>207</v>
      </c>
      <c r="D57" s="75" t="s">
        <v>1036</v>
      </c>
      <c r="E57" s="10"/>
      <c r="F57" s="79" t="s">
        <v>1049</v>
      </c>
      <c r="G57" s="10"/>
      <c r="H57" s="10" t="s">
        <v>109</v>
      </c>
      <c r="I57" s="51" t="s">
        <v>704</v>
      </c>
      <c r="J57" s="10" t="s">
        <v>705</v>
      </c>
      <c r="K57" s="10" t="str">
        <f t="shared" si="2"/>
        <v>S2</v>
      </c>
      <c r="L57" s="26" t="s">
        <v>706</v>
      </c>
      <c r="M57" s="10" t="s">
        <v>47</v>
      </c>
      <c r="N57" s="10" t="s">
        <v>222</v>
      </c>
      <c r="O57" s="10" t="s">
        <v>981</v>
      </c>
      <c r="P57" s="13" t="s">
        <v>985</v>
      </c>
      <c r="Q57" s="10" t="s">
        <v>34</v>
      </c>
      <c r="R57" s="10"/>
      <c r="S57" s="10"/>
      <c r="T57" s="27"/>
      <c r="U57" s="30">
        <v>68.130163817663828</v>
      </c>
      <c r="V57" s="30">
        <v>0</v>
      </c>
      <c r="W57" s="30">
        <v>5.459997704315886</v>
      </c>
      <c r="X57" s="28"/>
      <c r="Y57" s="9"/>
      <c r="Z57" s="9"/>
      <c r="AA57" s="27"/>
      <c r="AB57" s="14" t="s">
        <v>35</v>
      </c>
      <c r="AC57" s="14" t="s">
        <v>35</v>
      </c>
      <c r="AD57" s="14" t="s">
        <v>35</v>
      </c>
      <c r="AE57" s="29"/>
      <c r="AF57" s="29"/>
      <c r="AG57" s="14" t="s">
        <v>35</v>
      </c>
      <c r="AH57" s="29"/>
      <c r="AI57" s="28"/>
      <c r="AJ57" s="3" t="s">
        <v>42</v>
      </c>
    </row>
    <row r="58" spans="2:37" ht="28.8" hidden="1" x14ac:dyDescent="0.3">
      <c r="B58" s="13"/>
      <c r="C58" s="10">
        <v>225</v>
      </c>
      <c r="D58" s="75" t="s">
        <v>1036</v>
      </c>
      <c r="E58" s="10" t="s">
        <v>1047</v>
      </c>
      <c r="F58" s="79" t="s">
        <v>1049</v>
      </c>
      <c r="G58" s="10"/>
      <c r="H58" s="10" t="s">
        <v>109</v>
      </c>
      <c r="I58" s="51" t="s">
        <v>760</v>
      </c>
      <c r="J58" s="10" t="s">
        <v>761</v>
      </c>
      <c r="K58" s="10" t="str">
        <f t="shared" si="2"/>
        <v>S4</v>
      </c>
      <c r="L58" s="26" t="s">
        <v>762</v>
      </c>
      <c r="M58" s="10" t="s">
        <v>47</v>
      </c>
      <c r="N58" s="10" t="s">
        <v>222</v>
      </c>
      <c r="O58" s="10" t="s">
        <v>979</v>
      </c>
      <c r="P58" s="13" t="s">
        <v>213</v>
      </c>
      <c r="Q58" s="10" t="s">
        <v>34</v>
      </c>
      <c r="R58" s="10" t="s">
        <v>763</v>
      </c>
      <c r="S58" s="10"/>
      <c r="T58" s="27"/>
      <c r="U58" s="30">
        <v>161.1189458689459</v>
      </c>
      <c r="V58" s="30">
        <v>31.20075188615241</v>
      </c>
      <c r="W58" s="30">
        <v>13.000086088154271</v>
      </c>
      <c r="X58" s="28"/>
      <c r="Y58" s="9"/>
      <c r="Z58" s="9"/>
      <c r="AA58" s="27"/>
      <c r="AB58" s="14" t="s">
        <v>35</v>
      </c>
      <c r="AC58" s="14" t="s">
        <v>35</v>
      </c>
      <c r="AD58" s="14" t="s">
        <v>35</v>
      </c>
      <c r="AE58" s="14" t="s">
        <v>35</v>
      </c>
      <c r="AF58" s="14" t="s">
        <v>35</v>
      </c>
      <c r="AG58" s="14" t="s">
        <v>35</v>
      </c>
      <c r="AH58" s="29"/>
      <c r="AI58" s="28"/>
      <c r="AJ58" s="3" t="s">
        <v>42</v>
      </c>
      <c r="AK58" s="3" t="s">
        <v>43</v>
      </c>
    </row>
    <row r="59" spans="2:37" ht="52.95" hidden="1" customHeight="1" x14ac:dyDescent="0.3">
      <c r="B59" s="13"/>
      <c r="C59" s="10">
        <v>216</v>
      </c>
      <c r="D59" s="75" t="s">
        <v>1036</v>
      </c>
      <c r="E59" s="10"/>
      <c r="F59" s="79" t="s">
        <v>1049</v>
      </c>
      <c r="G59" s="10"/>
      <c r="H59" s="10" t="s">
        <v>109</v>
      </c>
      <c r="I59" s="51" t="s">
        <v>731</v>
      </c>
      <c r="J59" s="10" t="s">
        <v>732</v>
      </c>
      <c r="K59" s="10" t="str">
        <f t="shared" si="2"/>
        <v>S3</v>
      </c>
      <c r="L59" s="26" t="s">
        <v>733</v>
      </c>
      <c r="M59" s="10" t="s">
        <v>47</v>
      </c>
      <c r="N59" s="10" t="s">
        <v>222</v>
      </c>
      <c r="O59" s="10" t="s">
        <v>966</v>
      </c>
      <c r="P59" s="13" t="s">
        <v>33</v>
      </c>
      <c r="Q59" s="10" t="s">
        <v>34</v>
      </c>
      <c r="R59" s="10"/>
      <c r="S59" s="10"/>
      <c r="T59" s="27"/>
      <c r="U59" s="30">
        <v>122.44693732193733</v>
      </c>
      <c r="V59" s="30">
        <v>0</v>
      </c>
      <c r="W59" s="30">
        <v>9.1450872359963267</v>
      </c>
      <c r="X59" s="28"/>
      <c r="Y59" s="9"/>
      <c r="Z59" s="9"/>
      <c r="AA59" s="27"/>
      <c r="AB59" s="14" t="s">
        <v>35</v>
      </c>
      <c r="AC59" s="14" t="s">
        <v>35</v>
      </c>
      <c r="AD59" s="14" t="s">
        <v>35</v>
      </c>
      <c r="AE59" s="29"/>
      <c r="AF59" s="29"/>
      <c r="AG59" s="14" t="s">
        <v>35</v>
      </c>
      <c r="AH59" s="29"/>
      <c r="AI59" s="28"/>
      <c r="AJ59" s="3" t="s">
        <v>42</v>
      </c>
    </row>
    <row r="60" spans="2:37" ht="28.8" hidden="1" x14ac:dyDescent="0.3">
      <c r="B60" s="49"/>
      <c r="C60" s="42">
        <v>56</v>
      </c>
      <c r="D60" s="42"/>
      <c r="E60" s="42"/>
      <c r="F60" s="42"/>
      <c r="G60" s="42"/>
      <c r="H60" s="42" t="s">
        <v>119</v>
      </c>
      <c r="I60" s="42" t="s">
        <v>236</v>
      </c>
      <c r="J60" s="42" t="s">
        <v>237</v>
      </c>
      <c r="K60" s="42" t="str">
        <f t="shared" si="2"/>
        <v>S1</v>
      </c>
      <c r="L60" s="43" t="s">
        <v>238</v>
      </c>
      <c r="M60" s="42" t="s">
        <v>47</v>
      </c>
      <c r="N60" s="42" t="s">
        <v>226</v>
      </c>
      <c r="O60" s="52" t="s">
        <v>962</v>
      </c>
      <c r="P60" s="49" t="s">
        <v>1010</v>
      </c>
      <c r="Q60" s="42" t="s">
        <v>1030</v>
      </c>
      <c r="R60" s="42"/>
      <c r="S60" s="44" t="s">
        <v>214</v>
      </c>
      <c r="T60" s="27"/>
      <c r="U60" s="46">
        <v>20.255698005698004</v>
      </c>
      <c r="V60" s="46">
        <v>0</v>
      </c>
      <c r="W60" s="46">
        <v>2.729998852157943</v>
      </c>
      <c r="X60" s="28"/>
      <c r="Y60" s="9"/>
      <c r="Z60" s="9"/>
      <c r="AA60" s="27"/>
      <c r="AB60" s="29"/>
      <c r="AC60" s="29"/>
      <c r="AD60" s="14" t="s">
        <v>35</v>
      </c>
      <c r="AE60" s="29"/>
      <c r="AF60" s="29"/>
      <c r="AG60" s="14" t="s">
        <v>35</v>
      </c>
      <c r="AH60" s="29"/>
      <c r="AI60" s="28"/>
      <c r="AJ60" s="3" t="s">
        <v>42</v>
      </c>
    </row>
    <row r="61" spans="2:37" ht="52.95" hidden="1" customHeight="1" x14ac:dyDescent="0.3">
      <c r="B61" s="13"/>
      <c r="C61" s="10">
        <v>226</v>
      </c>
      <c r="D61" s="75" t="s">
        <v>1036</v>
      </c>
      <c r="E61" s="10"/>
      <c r="F61" s="79" t="s">
        <v>1049</v>
      </c>
      <c r="G61" s="10"/>
      <c r="H61" s="10" t="s">
        <v>109</v>
      </c>
      <c r="I61" s="51" t="s">
        <v>764</v>
      </c>
      <c r="J61" s="10" t="s">
        <v>765</v>
      </c>
      <c r="K61" s="10" t="str">
        <f t="shared" si="2"/>
        <v>S4</v>
      </c>
      <c r="L61" s="26" t="s">
        <v>766</v>
      </c>
      <c r="M61" s="10" t="s">
        <v>47</v>
      </c>
      <c r="N61" s="10" t="s">
        <v>222</v>
      </c>
      <c r="O61" s="10" t="s">
        <v>983</v>
      </c>
      <c r="P61" s="13" t="s">
        <v>1010</v>
      </c>
      <c r="Q61" s="10" t="s">
        <v>34</v>
      </c>
      <c r="R61" s="10"/>
      <c r="S61" s="10"/>
      <c r="T61" s="27"/>
      <c r="U61" s="30">
        <v>32.632834757834765</v>
      </c>
      <c r="V61" s="30">
        <v>3.9062084111873658</v>
      </c>
      <c r="W61" s="30">
        <v>3.7796143250688701</v>
      </c>
      <c r="X61" s="28"/>
      <c r="Y61" s="9"/>
      <c r="Z61" s="9"/>
      <c r="AA61" s="27"/>
      <c r="AB61" s="29"/>
      <c r="AC61" s="14" t="s">
        <v>35</v>
      </c>
      <c r="AD61" s="14" t="s">
        <v>35</v>
      </c>
      <c r="AE61" s="14" t="s">
        <v>35</v>
      </c>
      <c r="AF61" s="29"/>
      <c r="AG61" s="14" t="s">
        <v>35</v>
      </c>
      <c r="AH61" s="29"/>
      <c r="AI61" s="28"/>
      <c r="AJ61" s="3" t="s">
        <v>42</v>
      </c>
    </row>
    <row r="62" spans="2:37" hidden="1" x14ac:dyDescent="0.3">
      <c r="B62" s="13"/>
      <c r="C62" s="13">
        <v>1109</v>
      </c>
      <c r="D62" s="75" t="s">
        <v>1036</v>
      </c>
      <c r="E62" s="10"/>
      <c r="F62" s="10"/>
      <c r="G62" s="10"/>
      <c r="H62" s="10" t="s">
        <v>1021</v>
      </c>
      <c r="I62" s="10" t="str">
        <f>RIGHT(J62,LEN(J62)-3)</f>
        <v>T3058</v>
      </c>
      <c r="J62" s="34" t="s">
        <v>1016</v>
      </c>
      <c r="K62" s="10" t="s">
        <v>990</v>
      </c>
      <c r="L62" s="73" t="s">
        <v>1025</v>
      </c>
      <c r="M62" s="10" t="s">
        <v>47</v>
      </c>
      <c r="N62" s="10" t="s">
        <v>222</v>
      </c>
      <c r="O62" s="10" t="s">
        <v>952</v>
      </c>
      <c r="P62" s="13" t="s">
        <v>1010</v>
      </c>
      <c r="Q62" s="10" t="s">
        <v>1011</v>
      </c>
      <c r="R62" s="10"/>
      <c r="S62" s="10"/>
      <c r="T62" s="27"/>
      <c r="U62" s="30">
        <v>0</v>
      </c>
      <c r="V62" s="30">
        <v>0</v>
      </c>
      <c r="W62" s="30">
        <v>0</v>
      </c>
      <c r="X62" s="28"/>
      <c r="Y62" s="9"/>
      <c r="Z62" s="9"/>
      <c r="AA62" s="27"/>
      <c r="AB62" s="14" t="s">
        <v>35</v>
      </c>
      <c r="AC62" s="14" t="s">
        <v>35</v>
      </c>
      <c r="AD62" s="14" t="s">
        <v>35</v>
      </c>
      <c r="AE62" s="29"/>
      <c r="AF62" s="29"/>
      <c r="AG62" s="29"/>
      <c r="AH62" s="29"/>
      <c r="AI62" s="28"/>
      <c r="AJ62" s="3" t="s">
        <v>42</v>
      </c>
      <c r="AK62" s="3" t="s">
        <v>43</v>
      </c>
    </row>
    <row r="63" spans="2:37" ht="52.95" hidden="1" customHeight="1" x14ac:dyDescent="0.3">
      <c r="B63" s="13"/>
      <c r="C63" s="10">
        <v>227</v>
      </c>
      <c r="D63" s="78" t="s">
        <v>1042</v>
      </c>
      <c r="E63" s="10"/>
      <c r="F63" s="10"/>
      <c r="G63" s="10"/>
      <c r="H63" s="10" t="s">
        <v>109</v>
      </c>
      <c r="I63" s="51" t="s">
        <v>767</v>
      </c>
      <c r="J63" s="10" t="s">
        <v>768</v>
      </c>
      <c r="K63" s="10" t="str">
        <f t="shared" ref="K63:K94" si="3">+LEFT(J63,2)</f>
        <v>S4</v>
      </c>
      <c r="L63" s="26" t="s">
        <v>769</v>
      </c>
      <c r="M63" s="10" t="s">
        <v>47</v>
      </c>
      <c r="N63" s="10" t="s">
        <v>169</v>
      </c>
      <c r="O63" s="10" t="s">
        <v>959</v>
      </c>
      <c r="P63" s="13" t="s">
        <v>985</v>
      </c>
      <c r="Q63" s="10" t="s">
        <v>34</v>
      </c>
      <c r="R63" s="37" t="s">
        <v>770</v>
      </c>
      <c r="S63" s="10" t="s">
        <v>1007</v>
      </c>
      <c r="T63" s="27"/>
      <c r="U63" s="30">
        <v>0.4604700854700855</v>
      </c>
      <c r="V63" s="30">
        <v>14.396181178089069</v>
      </c>
      <c r="W63" s="30">
        <v>0</v>
      </c>
      <c r="X63" s="28"/>
      <c r="Y63" s="9"/>
      <c r="Z63" s="9"/>
      <c r="AA63" s="27"/>
      <c r="AB63" s="14" t="s">
        <v>35</v>
      </c>
      <c r="AC63" s="14" t="s">
        <v>35</v>
      </c>
      <c r="AD63" s="14" t="s">
        <v>35</v>
      </c>
      <c r="AE63" s="14" t="s">
        <v>35</v>
      </c>
      <c r="AF63" s="14" t="s">
        <v>35</v>
      </c>
      <c r="AG63" s="29"/>
      <c r="AH63" s="29"/>
      <c r="AI63" s="28"/>
      <c r="AJ63" s="3" t="s">
        <v>42</v>
      </c>
    </row>
    <row r="64" spans="2:37" ht="52.95" hidden="1" customHeight="1" x14ac:dyDescent="0.3">
      <c r="B64" s="13"/>
      <c r="C64" s="13">
        <v>1027</v>
      </c>
      <c r="D64" s="75" t="s">
        <v>1036</v>
      </c>
      <c r="E64" s="10"/>
      <c r="F64" s="10"/>
      <c r="G64" s="10"/>
      <c r="H64" s="10" t="s">
        <v>109</v>
      </c>
      <c r="I64" s="34" t="s">
        <v>915</v>
      </c>
      <c r="J64" s="10" t="s">
        <v>916</v>
      </c>
      <c r="K64" s="10" t="str">
        <f t="shared" si="3"/>
        <v>S1</v>
      </c>
      <c r="L64" s="10" t="s">
        <v>917</v>
      </c>
      <c r="M64" s="10" t="s">
        <v>47</v>
      </c>
      <c r="N64" s="10" t="s">
        <v>53</v>
      </c>
      <c r="O64" s="10" t="s">
        <v>951</v>
      </c>
      <c r="P64" s="13" t="s">
        <v>1010</v>
      </c>
      <c r="Q64" s="10" t="s">
        <v>1011</v>
      </c>
      <c r="R64" s="10"/>
      <c r="S64" s="10"/>
      <c r="T64" s="27"/>
      <c r="U64" s="30">
        <v>0</v>
      </c>
      <c r="V64" s="30">
        <v>0</v>
      </c>
      <c r="W64" s="30">
        <v>0</v>
      </c>
      <c r="X64" s="28"/>
      <c r="Y64" s="9"/>
      <c r="Z64" s="9"/>
      <c r="AA64" s="27"/>
      <c r="AB64" s="29"/>
      <c r="AC64" s="29"/>
      <c r="AD64" s="14" t="s">
        <v>35</v>
      </c>
      <c r="AE64" s="29"/>
      <c r="AF64" s="29"/>
      <c r="AG64" s="29"/>
      <c r="AH64" s="29"/>
      <c r="AI64" s="28"/>
      <c r="AJ64" s="3" t="s">
        <v>42</v>
      </c>
    </row>
    <row r="65" spans="2:37" s="41" customFormat="1" ht="57.6" hidden="1" x14ac:dyDescent="0.3">
      <c r="B65" s="49"/>
      <c r="C65" s="42">
        <v>61</v>
      </c>
      <c r="D65" s="42"/>
      <c r="E65" s="42"/>
      <c r="F65" s="42"/>
      <c r="G65" s="42"/>
      <c r="H65" s="42" t="s">
        <v>119</v>
      </c>
      <c r="I65" s="42" t="s">
        <v>252</v>
      </c>
      <c r="J65" s="42" t="s">
        <v>253</v>
      </c>
      <c r="K65" s="42" t="str">
        <f t="shared" si="3"/>
        <v>S1</v>
      </c>
      <c r="L65" s="43" t="s">
        <v>254</v>
      </c>
      <c r="M65" s="42" t="s">
        <v>47</v>
      </c>
      <c r="N65" s="42" t="s">
        <v>226</v>
      </c>
      <c r="O65" s="52" t="s">
        <v>58</v>
      </c>
      <c r="P65" s="49" t="s">
        <v>213</v>
      </c>
      <c r="Q65" s="42" t="s">
        <v>1030</v>
      </c>
      <c r="R65" s="50" t="s">
        <v>255</v>
      </c>
      <c r="S65" s="44" t="s">
        <v>214</v>
      </c>
      <c r="T65" s="45"/>
      <c r="U65" s="46">
        <v>138.78917378917379</v>
      </c>
      <c r="V65" s="46">
        <v>0</v>
      </c>
      <c r="W65" s="46">
        <v>11.930412075298438</v>
      </c>
      <c r="X65" s="47"/>
      <c r="Y65" s="9"/>
      <c r="Z65" s="9"/>
      <c r="AA65" s="27"/>
      <c r="AB65" s="48"/>
      <c r="AC65" s="48"/>
      <c r="AD65" s="14" t="s">
        <v>35</v>
      </c>
      <c r="AE65" s="14" t="s">
        <v>35</v>
      </c>
      <c r="AF65" s="14" t="s">
        <v>35</v>
      </c>
      <c r="AG65" s="14" t="s">
        <v>35</v>
      </c>
      <c r="AH65" s="48"/>
      <c r="AI65" s="47"/>
      <c r="AJ65" s="44" t="s">
        <v>214</v>
      </c>
      <c r="AK65" s="44" t="s">
        <v>214</v>
      </c>
    </row>
    <row r="66" spans="2:37" s="41" customFormat="1" ht="57.6" hidden="1" x14ac:dyDescent="0.3">
      <c r="B66" s="49"/>
      <c r="C66" s="42">
        <v>62</v>
      </c>
      <c r="D66" s="42"/>
      <c r="E66" s="42"/>
      <c r="F66" s="42"/>
      <c r="G66" s="42"/>
      <c r="H66" s="42" t="s">
        <v>119</v>
      </c>
      <c r="I66" s="42" t="s">
        <v>256</v>
      </c>
      <c r="J66" s="42" t="s">
        <v>257</v>
      </c>
      <c r="K66" s="42" t="str">
        <f t="shared" si="3"/>
        <v>S1</v>
      </c>
      <c r="L66" s="43" t="s">
        <v>258</v>
      </c>
      <c r="M66" s="42" t="s">
        <v>47</v>
      </c>
      <c r="N66" s="42" t="s">
        <v>226</v>
      </c>
      <c r="O66" s="52" t="s">
        <v>58</v>
      </c>
      <c r="P66" s="49" t="s">
        <v>213</v>
      </c>
      <c r="Q66" s="42" t="s">
        <v>1030</v>
      </c>
      <c r="R66" s="50" t="s">
        <v>259</v>
      </c>
      <c r="S66" s="44" t="s">
        <v>214</v>
      </c>
      <c r="T66" s="45"/>
      <c r="U66" s="46">
        <v>139.01816239316241</v>
      </c>
      <c r="V66" s="46">
        <v>0</v>
      </c>
      <c r="W66" s="46">
        <v>11.687098255280072</v>
      </c>
      <c r="X66" s="47"/>
      <c r="Y66" s="9"/>
      <c r="Z66" s="9"/>
      <c r="AA66" s="27"/>
      <c r="AB66" s="48"/>
      <c r="AC66" s="48"/>
      <c r="AD66" s="14" t="s">
        <v>35</v>
      </c>
      <c r="AE66" s="14" t="s">
        <v>35</v>
      </c>
      <c r="AF66" s="14" t="s">
        <v>35</v>
      </c>
      <c r="AG66" s="14" t="s">
        <v>35</v>
      </c>
      <c r="AH66" s="48"/>
      <c r="AI66" s="47"/>
      <c r="AJ66" s="44" t="s">
        <v>214</v>
      </c>
      <c r="AK66" s="44" t="s">
        <v>214</v>
      </c>
    </row>
    <row r="67" spans="2:37" ht="52.95" hidden="1" customHeight="1" x14ac:dyDescent="0.3">
      <c r="B67" s="13"/>
      <c r="C67" s="10">
        <v>246</v>
      </c>
      <c r="D67" s="75" t="s">
        <v>1036</v>
      </c>
      <c r="E67" s="10"/>
      <c r="F67" s="10"/>
      <c r="G67" s="10"/>
      <c r="H67" s="10" t="s">
        <v>36</v>
      </c>
      <c r="I67" s="51" t="s">
        <v>829</v>
      </c>
      <c r="J67" s="10" t="s">
        <v>830</v>
      </c>
      <c r="K67" s="10" t="str">
        <f t="shared" si="3"/>
        <v>S6</v>
      </c>
      <c r="L67" s="26" t="s">
        <v>831</v>
      </c>
      <c r="M67" s="10" t="s">
        <v>640</v>
      </c>
      <c r="N67" s="10" t="s">
        <v>53</v>
      </c>
      <c r="O67" s="10" t="s">
        <v>955</v>
      </c>
      <c r="P67" s="13" t="s">
        <v>213</v>
      </c>
      <c r="Q67" s="10" t="s">
        <v>34</v>
      </c>
      <c r="R67" s="10"/>
      <c r="S67" s="10" t="s">
        <v>832</v>
      </c>
      <c r="T67" s="27"/>
      <c r="U67" s="30">
        <v>0</v>
      </c>
      <c r="V67" s="30">
        <v>0</v>
      </c>
      <c r="W67" s="30">
        <v>0</v>
      </c>
      <c r="X67" s="28"/>
      <c r="Y67" s="9"/>
      <c r="Z67" s="9"/>
      <c r="AA67" s="27"/>
      <c r="AB67" s="14" t="s">
        <v>35</v>
      </c>
      <c r="AC67" s="29"/>
      <c r="AD67" s="14" t="s">
        <v>35</v>
      </c>
      <c r="AE67" s="29"/>
      <c r="AF67" s="29"/>
      <c r="AG67" s="29"/>
      <c r="AH67" s="29"/>
      <c r="AI67" s="28"/>
      <c r="AJ67" s="3" t="s">
        <v>42</v>
      </c>
    </row>
    <row r="68" spans="2:37" ht="52.95" hidden="1" customHeight="1" x14ac:dyDescent="0.3">
      <c r="B68" s="13"/>
      <c r="C68" s="13">
        <v>1055</v>
      </c>
      <c r="D68" s="10" t="s">
        <v>1038</v>
      </c>
      <c r="E68" s="10"/>
      <c r="F68" s="10"/>
      <c r="G68" s="10"/>
      <c r="H68" s="10" t="s">
        <v>36</v>
      </c>
      <c r="I68" s="10" t="s">
        <v>918</v>
      </c>
      <c r="J68" s="10" t="s">
        <v>919</v>
      </c>
      <c r="K68" s="10" t="str">
        <f t="shared" si="3"/>
        <v>S6</v>
      </c>
      <c r="L68" s="10" t="s">
        <v>920</v>
      </c>
      <c r="M68" s="10" t="s">
        <v>640</v>
      </c>
      <c r="N68" s="10" t="s">
        <v>74</v>
      </c>
      <c r="O68" s="10" t="s">
        <v>984</v>
      </c>
      <c r="P68" s="13" t="s">
        <v>985</v>
      </c>
      <c r="Q68" s="10" t="s">
        <v>1011</v>
      </c>
      <c r="R68" s="10"/>
      <c r="S68" s="10"/>
      <c r="T68" s="27"/>
      <c r="U68" s="30">
        <v>0</v>
      </c>
      <c r="V68" s="30">
        <v>0</v>
      </c>
      <c r="W68" s="30">
        <v>0</v>
      </c>
      <c r="X68" s="28"/>
      <c r="Y68" s="9"/>
      <c r="Z68" s="9"/>
      <c r="AA68" s="27"/>
      <c r="AB68" s="14" t="s">
        <v>35</v>
      </c>
      <c r="AC68" s="14" t="s">
        <v>35</v>
      </c>
      <c r="AD68" s="14" t="s">
        <v>35</v>
      </c>
      <c r="AE68" s="29"/>
      <c r="AF68" s="29"/>
      <c r="AG68" s="29"/>
      <c r="AH68" s="29"/>
      <c r="AI68" s="28"/>
      <c r="AJ68" s="3" t="s">
        <v>42</v>
      </c>
    </row>
    <row r="69" spans="2:37" ht="52.95" hidden="1" customHeight="1" x14ac:dyDescent="0.3">
      <c r="B69" s="13"/>
      <c r="C69" s="10">
        <v>248</v>
      </c>
      <c r="D69" s="75" t="s">
        <v>1036</v>
      </c>
      <c r="E69" s="10"/>
      <c r="F69" s="10"/>
      <c r="G69" s="10"/>
      <c r="H69" s="10" t="s">
        <v>36</v>
      </c>
      <c r="I69" s="10" t="s">
        <v>836</v>
      </c>
      <c r="J69" s="10" t="s">
        <v>837</v>
      </c>
      <c r="K69" s="10" t="str">
        <f t="shared" si="3"/>
        <v>S6</v>
      </c>
      <c r="L69" s="26" t="s">
        <v>831</v>
      </c>
      <c r="M69" s="10" t="s">
        <v>640</v>
      </c>
      <c r="N69" s="10" t="s">
        <v>53</v>
      </c>
      <c r="O69" s="10" t="s">
        <v>955</v>
      </c>
      <c r="P69" s="13" t="s">
        <v>213</v>
      </c>
      <c r="Q69" s="10" t="s">
        <v>34</v>
      </c>
      <c r="R69" s="10"/>
      <c r="S69" s="10" t="s">
        <v>832</v>
      </c>
      <c r="T69" s="27"/>
      <c r="U69" s="30">
        <v>0</v>
      </c>
      <c r="V69" s="30">
        <v>0</v>
      </c>
      <c r="W69" s="30">
        <v>0</v>
      </c>
      <c r="X69" s="28"/>
      <c r="Y69" s="9"/>
      <c r="Z69" s="9"/>
      <c r="AA69" s="27"/>
      <c r="AB69" s="14" t="s">
        <v>35</v>
      </c>
      <c r="AC69" s="29"/>
      <c r="AD69" s="14" t="s">
        <v>35</v>
      </c>
      <c r="AE69" s="29"/>
      <c r="AF69" s="29"/>
      <c r="AG69" s="29"/>
      <c r="AH69" s="29"/>
      <c r="AI69" s="28"/>
      <c r="AJ69" s="3" t="s">
        <v>42</v>
      </c>
    </row>
    <row r="70" spans="2:37" ht="52.95" hidden="1" customHeight="1" x14ac:dyDescent="0.3">
      <c r="B70" s="53"/>
      <c r="C70" s="33">
        <v>181</v>
      </c>
      <c r="D70" s="33" t="s">
        <v>1039</v>
      </c>
      <c r="E70" s="33"/>
      <c r="F70" s="33"/>
      <c r="G70" s="33"/>
      <c r="H70" s="33" t="s">
        <v>119</v>
      </c>
      <c r="I70" s="33" t="s">
        <v>637</v>
      </c>
      <c r="J70" s="33" t="s">
        <v>638</v>
      </c>
      <c r="K70" s="33" t="str">
        <f t="shared" si="3"/>
        <v>S2</v>
      </c>
      <c r="L70" s="54" t="s">
        <v>639</v>
      </c>
      <c r="M70" s="33" t="s">
        <v>640</v>
      </c>
      <c r="N70" s="33" t="s">
        <v>74</v>
      </c>
      <c r="O70" s="33" t="s">
        <v>58</v>
      </c>
      <c r="P70" s="53" t="s">
        <v>213</v>
      </c>
      <c r="Q70" s="33" t="s">
        <v>34</v>
      </c>
      <c r="R70" s="33"/>
      <c r="S70" s="33" t="s">
        <v>938</v>
      </c>
      <c r="T70" s="27"/>
      <c r="U70" s="30">
        <v>47.875</v>
      </c>
      <c r="V70" s="30">
        <v>0</v>
      </c>
      <c r="W70" s="30">
        <v>0</v>
      </c>
      <c r="X70" s="28"/>
      <c r="Y70" s="9"/>
      <c r="Z70" s="9"/>
      <c r="AA70" s="27"/>
      <c r="AB70" s="29"/>
      <c r="AC70" s="29"/>
      <c r="AD70" s="14" t="s">
        <v>35</v>
      </c>
      <c r="AE70" s="29"/>
      <c r="AF70" s="29"/>
      <c r="AG70" s="29"/>
      <c r="AH70" s="29"/>
      <c r="AI70" s="28"/>
      <c r="AJ70" s="3" t="s">
        <v>42</v>
      </c>
    </row>
    <row r="71" spans="2:37" ht="37.799999999999997" customHeight="1" x14ac:dyDescent="0.3">
      <c r="B71" s="13"/>
      <c r="C71" s="10">
        <v>260</v>
      </c>
      <c r="D71" s="76" t="s">
        <v>1043</v>
      </c>
      <c r="E71" s="10"/>
      <c r="F71" s="10"/>
      <c r="G71" s="10"/>
      <c r="H71" s="10" t="s">
        <v>119</v>
      </c>
      <c r="I71" s="10" t="s">
        <v>871</v>
      </c>
      <c r="J71" s="10" t="s">
        <v>872</v>
      </c>
      <c r="K71" s="10" t="str">
        <f t="shared" si="3"/>
        <v>S1</v>
      </c>
      <c r="L71" s="26" t="s">
        <v>873</v>
      </c>
      <c r="M71" s="10" t="s">
        <v>640</v>
      </c>
      <c r="N71" s="10" t="s">
        <v>874</v>
      </c>
      <c r="O71" s="10" t="s">
        <v>955</v>
      </c>
      <c r="P71" s="13" t="s">
        <v>331</v>
      </c>
      <c r="Q71" s="10" t="s">
        <v>34</v>
      </c>
      <c r="R71" s="10"/>
      <c r="S71" s="34" t="s">
        <v>875</v>
      </c>
      <c r="T71" s="27"/>
      <c r="U71" s="30">
        <v>4.6036324786324796</v>
      </c>
      <c r="V71" s="30">
        <v>0</v>
      </c>
      <c r="W71" s="30">
        <v>0</v>
      </c>
      <c r="X71" s="28"/>
      <c r="Y71" s="9"/>
      <c r="Z71" s="9"/>
      <c r="AA71" s="27"/>
      <c r="AB71" s="14" t="s">
        <v>35</v>
      </c>
      <c r="AC71" s="29"/>
      <c r="AD71" s="14" t="s">
        <v>35</v>
      </c>
      <c r="AE71" s="29"/>
      <c r="AF71" s="29"/>
      <c r="AG71" s="29"/>
      <c r="AH71" s="29"/>
      <c r="AI71" s="28"/>
      <c r="AJ71" s="3" t="s">
        <v>42</v>
      </c>
    </row>
    <row r="72" spans="2:37" hidden="1" x14ac:dyDescent="0.3">
      <c r="B72" s="13"/>
      <c r="C72" s="13">
        <v>1061</v>
      </c>
      <c r="D72" s="10" t="s">
        <v>1038</v>
      </c>
      <c r="E72" s="10"/>
      <c r="F72" s="10"/>
      <c r="G72" s="10"/>
      <c r="H72" s="10" t="s">
        <v>119</v>
      </c>
      <c r="I72" s="34" t="s">
        <v>909</v>
      </c>
      <c r="J72" s="10" t="s">
        <v>910</v>
      </c>
      <c r="K72" s="10" t="str">
        <f t="shared" si="3"/>
        <v>S2</v>
      </c>
      <c r="L72" s="10" t="s">
        <v>911</v>
      </c>
      <c r="M72" s="10" t="s">
        <v>640</v>
      </c>
      <c r="N72" s="10" t="s">
        <v>74</v>
      </c>
      <c r="O72" s="10" t="s">
        <v>984</v>
      </c>
      <c r="P72" s="13" t="s">
        <v>985</v>
      </c>
      <c r="Q72" s="10" t="s">
        <v>1011</v>
      </c>
      <c r="R72" s="10"/>
      <c r="S72" s="10"/>
      <c r="T72" s="27"/>
      <c r="U72" s="30">
        <v>0</v>
      </c>
      <c r="V72" s="30">
        <v>0</v>
      </c>
      <c r="W72" s="30">
        <v>0</v>
      </c>
      <c r="X72" s="28"/>
      <c r="Y72" s="9"/>
      <c r="Z72" s="9"/>
      <c r="AA72" s="27"/>
      <c r="AB72" s="14" t="s">
        <v>35</v>
      </c>
      <c r="AC72" s="14" t="s">
        <v>35</v>
      </c>
      <c r="AD72" s="14" t="s">
        <v>35</v>
      </c>
      <c r="AE72" s="29"/>
      <c r="AF72" s="29"/>
      <c r="AG72" s="29"/>
      <c r="AH72" s="29"/>
      <c r="AI72" s="28"/>
      <c r="AJ72" s="3" t="s">
        <v>42</v>
      </c>
    </row>
    <row r="73" spans="2:37" hidden="1" x14ac:dyDescent="0.3">
      <c r="B73" s="13"/>
      <c r="C73" s="10">
        <v>235</v>
      </c>
      <c r="D73" s="10" t="s">
        <v>1038</v>
      </c>
      <c r="E73" s="10"/>
      <c r="F73" s="10"/>
      <c r="G73" s="10"/>
      <c r="H73" s="10" t="s">
        <v>109</v>
      </c>
      <c r="I73" s="51" t="s">
        <v>795</v>
      </c>
      <c r="J73" s="10" t="s">
        <v>796</v>
      </c>
      <c r="K73" s="10" t="str">
        <f t="shared" si="3"/>
        <v>S5</v>
      </c>
      <c r="L73" s="26" t="s">
        <v>797</v>
      </c>
      <c r="M73" s="10" t="s">
        <v>640</v>
      </c>
      <c r="N73" s="10" t="s">
        <v>74</v>
      </c>
      <c r="O73" s="10" t="s">
        <v>948</v>
      </c>
      <c r="P73" s="13" t="s">
        <v>985</v>
      </c>
      <c r="Q73" s="10" t="s">
        <v>34</v>
      </c>
      <c r="R73" s="10"/>
      <c r="S73" s="10" t="s">
        <v>942</v>
      </c>
      <c r="T73" s="27"/>
      <c r="U73" s="30">
        <v>0</v>
      </c>
      <c r="V73" s="30">
        <v>0</v>
      </c>
      <c r="W73" s="30">
        <v>0</v>
      </c>
      <c r="X73" s="28"/>
      <c r="Y73" s="9"/>
      <c r="Z73" s="9"/>
      <c r="AA73" s="27"/>
      <c r="AB73" s="29"/>
      <c r="AC73" s="14" t="s">
        <v>35</v>
      </c>
      <c r="AD73" s="14" t="s">
        <v>35</v>
      </c>
      <c r="AE73" s="29"/>
      <c r="AF73" s="29"/>
      <c r="AG73" s="29"/>
      <c r="AH73" s="29"/>
      <c r="AI73" s="28"/>
      <c r="AJ73" s="3" t="s">
        <v>283</v>
      </c>
      <c r="AK73" s="3" t="s">
        <v>284</v>
      </c>
    </row>
    <row r="74" spans="2:37" hidden="1" x14ac:dyDescent="0.3">
      <c r="B74" s="13"/>
      <c r="C74" s="10">
        <v>237</v>
      </c>
      <c r="D74" s="10" t="s">
        <v>1038</v>
      </c>
      <c r="E74" s="10"/>
      <c r="F74" s="10"/>
      <c r="G74" s="10"/>
      <c r="H74" s="10" t="s">
        <v>109</v>
      </c>
      <c r="I74" s="51" t="s">
        <v>801</v>
      </c>
      <c r="J74" s="10" t="s">
        <v>802</v>
      </c>
      <c r="K74" s="10" t="str">
        <f t="shared" si="3"/>
        <v>S5</v>
      </c>
      <c r="L74" s="26" t="s">
        <v>803</v>
      </c>
      <c r="M74" s="10" t="s">
        <v>640</v>
      </c>
      <c r="N74" s="10" t="s">
        <v>344</v>
      </c>
      <c r="O74" s="10" t="s">
        <v>944</v>
      </c>
      <c r="P74" s="13" t="s">
        <v>213</v>
      </c>
      <c r="Q74" s="10" t="s">
        <v>34</v>
      </c>
      <c r="R74" s="10"/>
      <c r="S74" s="10" t="s">
        <v>804</v>
      </c>
      <c r="T74" s="27"/>
      <c r="U74" s="30">
        <v>0</v>
      </c>
      <c r="V74" s="30">
        <v>0</v>
      </c>
      <c r="W74" s="30">
        <v>0</v>
      </c>
      <c r="X74" s="28"/>
      <c r="Y74" s="9"/>
      <c r="Z74" s="9"/>
      <c r="AA74" s="27"/>
      <c r="AB74" s="29"/>
      <c r="AC74" s="14" t="s">
        <v>35</v>
      </c>
      <c r="AD74" s="29"/>
      <c r="AE74" s="29"/>
      <c r="AF74" s="29"/>
      <c r="AG74" s="29"/>
      <c r="AH74" s="29"/>
      <c r="AI74" s="28"/>
      <c r="AJ74" s="3" t="s">
        <v>42</v>
      </c>
      <c r="AK74" s="3" t="s">
        <v>43</v>
      </c>
    </row>
    <row r="75" spans="2:37" hidden="1" x14ac:dyDescent="0.3">
      <c r="B75" s="13"/>
      <c r="C75" s="10">
        <v>238</v>
      </c>
      <c r="D75" s="10" t="s">
        <v>1038</v>
      </c>
      <c r="E75" s="10"/>
      <c r="F75" s="10"/>
      <c r="G75" s="10"/>
      <c r="H75" s="10" t="s">
        <v>109</v>
      </c>
      <c r="I75" s="51" t="s">
        <v>805</v>
      </c>
      <c r="J75" s="10" t="s">
        <v>806</v>
      </c>
      <c r="K75" s="10" t="str">
        <f t="shared" si="3"/>
        <v>S5</v>
      </c>
      <c r="L75" s="26" t="s">
        <v>803</v>
      </c>
      <c r="M75" s="10" t="s">
        <v>640</v>
      </c>
      <c r="N75" s="10" t="s">
        <v>344</v>
      </c>
      <c r="O75" s="10" t="s">
        <v>944</v>
      </c>
      <c r="P75" s="13" t="s">
        <v>33</v>
      </c>
      <c r="Q75" s="10" t="s">
        <v>34</v>
      </c>
      <c r="R75" s="10"/>
      <c r="S75" s="10" t="s">
        <v>804</v>
      </c>
      <c r="T75" s="27"/>
      <c r="U75" s="30">
        <v>0</v>
      </c>
      <c r="V75" s="30">
        <v>0</v>
      </c>
      <c r="W75" s="30">
        <v>0</v>
      </c>
      <c r="X75" s="28"/>
      <c r="Y75" s="9"/>
      <c r="Z75" s="9"/>
      <c r="AA75" s="27"/>
      <c r="AB75" s="29"/>
      <c r="AC75" s="14" t="s">
        <v>35</v>
      </c>
      <c r="AD75" s="29"/>
      <c r="AE75" s="29"/>
      <c r="AF75" s="29"/>
      <c r="AG75" s="29"/>
      <c r="AH75" s="29"/>
      <c r="AI75" s="28"/>
      <c r="AJ75" s="3" t="s">
        <v>42</v>
      </c>
      <c r="AK75" s="3" t="s">
        <v>43</v>
      </c>
    </row>
    <row r="76" spans="2:37" ht="37.799999999999997" customHeight="1" x14ac:dyDescent="0.3">
      <c r="B76" s="13"/>
      <c r="C76" s="10">
        <v>179</v>
      </c>
      <c r="D76" s="76" t="s">
        <v>1043</v>
      </c>
      <c r="E76" s="10"/>
      <c r="F76" s="79" t="s">
        <v>1049</v>
      </c>
      <c r="G76" s="10"/>
      <c r="H76" s="10" t="s">
        <v>119</v>
      </c>
      <c r="I76" s="51" t="s">
        <v>631</v>
      </c>
      <c r="J76" s="10" t="s">
        <v>632</v>
      </c>
      <c r="K76" s="10" t="str">
        <f t="shared" si="3"/>
        <v>S2</v>
      </c>
      <c r="L76" s="26" t="s">
        <v>633</v>
      </c>
      <c r="M76" s="10" t="s">
        <v>73</v>
      </c>
      <c r="N76" s="10" t="s">
        <v>939</v>
      </c>
      <c r="O76" s="10" t="s">
        <v>975</v>
      </c>
      <c r="P76" s="13" t="s">
        <v>213</v>
      </c>
      <c r="Q76" s="10" t="s">
        <v>34</v>
      </c>
      <c r="R76" s="10"/>
      <c r="S76" s="10"/>
      <c r="T76" s="27"/>
      <c r="U76" s="30">
        <v>0</v>
      </c>
      <c r="V76" s="30">
        <v>0</v>
      </c>
      <c r="W76" s="30">
        <v>1.5358987603305785</v>
      </c>
      <c r="X76" s="28"/>
      <c r="Y76" s="9"/>
      <c r="Z76" s="9"/>
      <c r="AA76" s="27"/>
      <c r="AB76" s="14" t="s">
        <v>35</v>
      </c>
      <c r="AC76" s="29"/>
      <c r="AD76" s="29"/>
      <c r="AE76" s="29"/>
      <c r="AF76" s="29"/>
      <c r="AG76" s="14" t="s">
        <v>35</v>
      </c>
      <c r="AH76" s="29"/>
      <c r="AI76" s="28"/>
      <c r="AJ76" s="3" t="s">
        <v>42</v>
      </c>
      <c r="AK76" s="3" t="s">
        <v>43</v>
      </c>
    </row>
    <row r="77" spans="2:37" ht="37.799999999999997" customHeight="1" x14ac:dyDescent="0.3">
      <c r="B77" s="13"/>
      <c r="C77" s="10">
        <v>182</v>
      </c>
      <c r="D77" s="76" t="s">
        <v>1043</v>
      </c>
      <c r="E77" s="10"/>
      <c r="F77" s="79" t="s">
        <v>1049</v>
      </c>
      <c r="G77" s="10"/>
      <c r="H77" s="10" t="s">
        <v>119</v>
      </c>
      <c r="I77" s="51" t="s">
        <v>642</v>
      </c>
      <c r="J77" s="10" t="s">
        <v>643</v>
      </c>
      <c r="K77" s="10" t="str">
        <f t="shared" si="3"/>
        <v>S2</v>
      </c>
      <c r="L77" s="26" t="s">
        <v>644</v>
      </c>
      <c r="M77" s="10" t="s">
        <v>73</v>
      </c>
      <c r="N77" s="10" t="s">
        <v>939</v>
      </c>
      <c r="O77" s="10" t="s">
        <v>980</v>
      </c>
      <c r="P77" s="13" t="s">
        <v>1010</v>
      </c>
      <c r="Q77" s="10" t="s">
        <v>34</v>
      </c>
      <c r="R77" s="10"/>
      <c r="S77" s="10" t="s">
        <v>645</v>
      </c>
      <c r="T77" s="27"/>
      <c r="U77" s="30">
        <v>0</v>
      </c>
      <c r="V77" s="30">
        <v>0</v>
      </c>
      <c r="W77" s="30">
        <v>0</v>
      </c>
      <c r="X77" s="28"/>
      <c r="Y77" s="9"/>
      <c r="Z77" s="9"/>
      <c r="AA77" s="27"/>
      <c r="AB77" s="14" t="s">
        <v>35</v>
      </c>
      <c r="AC77" s="29"/>
      <c r="AD77" s="14" t="s">
        <v>35</v>
      </c>
      <c r="AE77" s="29"/>
      <c r="AF77" s="29"/>
      <c r="AG77" s="14" t="s">
        <v>35</v>
      </c>
      <c r="AH77" s="29"/>
      <c r="AI77" s="28"/>
      <c r="AJ77" s="3" t="s">
        <v>283</v>
      </c>
      <c r="AK77" s="3" t="s">
        <v>284</v>
      </c>
    </row>
    <row r="78" spans="2:37" hidden="1" x14ac:dyDescent="0.3">
      <c r="B78" s="13"/>
      <c r="C78" s="10">
        <v>183</v>
      </c>
      <c r="D78" s="10" t="s">
        <v>1038</v>
      </c>
      <c r="E78" s="10"/>
      <c r="F78" s="10"/>
      <c r="G78" s="10"/>
      <c r="H78" s="10" t="s">
        <v>119</v>
      </c>
      <c r="I78" s="51" t="s">
        <v>646</v>
      </c>
      <c r="J78" s="10" t="s">
        <v>647</v>
      </c>
      <c r="K78" s="10" t="str">
        <f t="shared" si="3"/>
        <v>S2</v>
      </c>
      <c r="L78" s="26" t="s">
        <v>636</v>
      </c>
      <c r="M78" s="10" t="s">
        <v>73</v>
      </c>
      <c r="N78" s="10" t="s">
        <v>939</v>
      </c>
      <c r="O78" s="10" t="s">
        <v>944</v>
      </c>
      <c r="P78" s="13" t="s">
        <v>213</v>
      </c>
      <c r="Q78" s="10" t="s">
        <v>34</v>
      </c>
      <c r="R78" s="10"/>
      <c r="S78" s="10" t="s">
        <v>85</v>
      </c>
      <c r="T78" s="27"/>
      <c r="U78" s="30">
        <v>0</v>
      </c>
      <c r="V78" s="30">
        <v>0</v>
      </c>
      <c r="W78" s="30">
        <v>0</v>
      </c>
      <c r="X78" s="28"/>
      <c r="Y78" s="9"/>
      <c r="Z78" s="9"/>
      <c r="AA78" s="27"/>
      <c r="AB78" s="29"/>
      <c r="AC78" s="14" t="s">
        <v>35</v>
      </c>
      <c r="AD78" s="14" t="s">
        <v>35</v>
      </c>
      <c r="AE78" s="29"/>
      <c r="AF78" s="29"/>
      <c r="AG78" s="29"/>
      <c r="AH78" s="29"/>
      <c r="AI78" s="28"/>
      <c r="AJ78" s="3" t="s">
        <v>283</v>
      </c>
      <c r="AK78" s="3" t="s">
        <v>284</v>
      </c>
    </row>
    <row r="79" spans="2:37" ht="37.799999999999997" customHeight="1" x14ac:dyDescent="0.3">
      <c r="B79" s="13"/>
      <c r="C79" s="10">
        <v>101</v>
      </c>
      <c r="D79" s="76" t="s">
        <v>1043</v>
      </c>
      <c r="E79" s="10"/>
      <c r="F79" s="10"/>
      <c r="G79" s="10"/>
      <c r="H79" s="10" t="s">
        <v>119</v>
      </c>
      <c r="I79" s="10" t="s">
        <v>369</v>
      </c>
      <c r="J79" s="10" t="s">
        <v>370</v>
      </c>
      <c r="K79" s="10" t="str">
        <f t="shared" si="3"/>
        <v>S1</v>
      </c>
      <c r="L79" s="26" t="s">
        <v>371</v>
      </c>
      <c r="M79" s="10" t="s">
        <v>73</v>
      </c>
      <c r="N79" s="10" t="s">
        <v>344</v>
      </c>
      <c r="O79" s="10" t="s">
        <v>955</v>
      </c>
      <c r="P79" s="13" t="s">
        <v>33</v>
      </c>
      <c r="Q79" s="10" t="s">
        <v>34</v>
      </c>
      <c r="R79" s="10"/>
      <c r="S79" s="10" t="s">
        <v>372</v>
      </c>
      <c r="T79" s="27"/>
      <c r="U79" s="30">
        <v>2.7621082621082622</v>
      </c>
      <c r="V79" s="30">
        <v>0</v>
      </c>
      <c r="W79" s="30">
        <v>0</v>
      </c>
      <c r="X79" s="28"/>
      <c r="Y79" s="9"/>
      <c r="Z79" s="9"/>
      <c r="AA79" s="27"/>
      <c r="AB79" s="14" t="s">
        <v>35</v>
      </c>
      <c r="AC79" s="29"/>
      <c r="AD79" s="14" t="s">
        <v>35</v>
      </c>
      <c r="AE79" s="29"/>
      <c r="AF79" s="29"/>
      <c r="AG79" s="29"/>
      <c r="AH79" s="29"/>
      <c r="AI79" s="28"/>
      <c r="AJ79" s="3" t="s">
        <v>283</v>
      </c>
      <c r="AK79" s="3" t="s">
        <v>284</v>
      </c>
    </row>
    <row r="80" spans="2:37" hidden="1" x14ac:dyDescent="0.3">
      <c r="B80" s="13"/>
      <c r="C80" s="13">
        <v>1049</v>
      </c>
      <c r="D80" s="10" t="s">
        <v>1038</v>
      </c>
      <c r="E80" s="10"/>
      <c r="F80" s="10"/>
      <c r="G80" s="10"/>
      <c r="H80" s="10" t="s">
        <v>109</v>
      </c>
      <c r="I80" s="34" t="s">
        <v>912</v>
      </c>
      <c r="J80" s="10" t="s">
        <v>913</v>
      </c>
      <c r="K80" s="10" t="str">
        <f t="shared" si="3"/>
        <v>S2</v>
      </c>
      <c r="L80" s="10" t="s">
        <v>914</v>
      </c>
      <c r="M80" s="10" t="s">
        <v>73</v>
      </c>
      <c r="N80" s="10" t="s">
        <v>939</v>
      </c>
      <c r="O80" s="10" t="s">
        <v>944</v>
      </c>
      <c r="P80" s="13" t="s">
        <v>985</v>
      </c>
      <c r="Q80" s="10" t="s">
        <v>1011</v>
      </c>
      <c r="R80" s="10"/>
      <c r="S80" s="10"/>
      <c r="T80" s="27"/>
      <c r="U80" s="30">
        <v>0</v>
      </c>
      <c r="V80" s="30">
        <v>0</v>
      </c>
      <c r="W80" s="30">
        <v>0</v>
      </c>
      <c r="X80" s="28"/>
      <c r="Y80" s="9"/>
      <c r="Z80" s="9"/>
      <c r="AA80" s="27"/>
      <c r="AB80" s="29"/>
      <c r="AC80" s="14" t="s">
        <v>35</v>
      </c>
      <c r="AD80" s="29"/>
      <c r="AE80" s="29"/>
      <c r="AF80" s="29"/>
      <c r="AG80" s="29"/>
      <c r="AH80" s="29"/>
      <c r="AI80" s="28"/>
      <c r="AJ80" s="3" t="s">
        <v>42</v>
      </c>
      <c r="AK80" s="3" t="s">
        <v>43</v>
      </c>
    </row>
    <row r="81" spans="2:37" hidden="1" x14ac:dyDescent="0.3">
      <c r="B81" s="53"/>
      <c r="C81" s="33">
        <v>4</v>
      </c>
      <c r="D81" s="33" t="s">
        <v>1039</v>
      </c>
      <c r="E81" s="33"/>
      <c r="F81" s="33"/>
      <c r="G81" s="33"/>
      <c r="H81" s="33" t="s">
        <v>36</v>
      </c>
      <c r="I81" s="33" t="s">
        <v>55</v>
      </c>
      <c r="J81" s="33" t="s">
        <v>56</v>
      </c>
      <c r="K81" s="33" t="str">
        <f t="shared" si="3"/>
        <v>S1</v>
      </c>
      <c r="L81" s="54" t="s">
        <v>57</v>
      </c>
      <c r="M81" s="33" t="s">
        <v>58</v>
      </c>
      <c r="N81" s="33" t="s">
        <v>58</v>
      </c>
      <c r="O81" s="33" t="s">
        <v>58</v>
      </c>
      <c r="P81" s="53" t="s">
        <v>33</v>
      </c>
      <c r="Q81" s="33" t="s">
        <v>34</v>
      </c>
      <c r="R81" s="33"/>
      <c r="S81" s="33" t="s">
        <v>938</v>
      </c>
      <c r="T81" s="27"/>
      <c r="U81" s="30">
        <v>0</v>
      </c>
      <c r="V81" s="30">
        <v>0</v>
      </c>
      <c r="W81" s="30">
        <v>0</v>
      </c>
      <c r="X81" s="27"/>
      <c r="Y81" s="9"/>
      <c r="Z81" s="9"/>
      <c r="AA81" s="27"/>
      <c r="AB81" s="29"/>
      <c r="AC81" s="29"/>
      <c r="AD81" s="29"/>
      <c r="AE81" s="29"/>
      <c r="AF81" s="29"/>
      <c r="AG81" s="29"/>
      <c r="AH81" s="29"/>
      <c r="AI81" s="28"/>
      <c r="AJ81" s="3" t="s">
        <v>42</v>
      </c>
      <c r="AK81" s="3" t="s">
        <v>43</v>
      </c>
    </row>
    <row r="82" spans="2:37" hidden="1" x14ac:dyDescent="0.3">
      <c r="B82" s="53"/>
      <c r="C82" s="33">
        <v>5</v>
      </c>
      <c r="D82" s="33" t="s">
        <v>1039</v>
      </c>
      <c r="E82" s="33"/>
      <c r="F82" s="33"/>
      <c r="G82" s="33"/>
      <c r="H82" s="33" t="s">
        <v>36</v>
      </c>
      <c r="I82" s="33" t="s">
        <v>60</v>
      </c>
      <c r="J82" s="33" t="s">
        <v>61</v>
      </c>
      <c r="K82" s="33" t="str">
        <f t="shared" si="3"/>
        <v>S1</v>
      </c>
      <c r="L82" s="54" t="s">
        <v>62</v>
      </c>
      <c r="M82" s="33" t="s">
        <v>58</v>
      </c>
      <c r="N82" s="33" t="s">
        <v>58</v>
      </c>
      <c r="O82" s="33" t="s">
        <v>58</v>
      </c>
      <c r="P82" s="53" t="s">
        <v>33</v>
      </c>
      <c r="Q82" s="33" t="s">
        <v>34</v>
      </c>
      <c r="R82" s="33"/>
      <c r="S82" s="33" t="s">
        <v>938</v>
      </c>
      <c r="T82" s="27"/>
      <c r="U82" s="30">
        <v>0</v>
      </c>
      <c r="V82" s="30">
        <v>0</v>
      </c>
      <c r="W82" s="30">
        <v>0</v>
      </c>
      <c r="X82" s="27"/>
      <c r="Y82" s="9"/>
      <c r="Z82" s="9"/>
      <c r="AA82" s="27"/>
      <c r="AB82" s="29"/>
      <c r="AC82" s="29"/>
      <c r="AD82" s="29"/>
      <c r="AE82" s="29"/>
      <c r="AF82" s="29"/>
      <c r="AG82" s="29"/>
      <c r="AH82" s="29"/>
      <c r="AI82" s="28"/>
      <c r="AJ82" s="3" t="s">
        <v>42</v>
      </c>
      <c r="AK82" s="3" t="s">
        <v>43</v>
      </c>
    </row>
    <row r="83" spans="2:37" hidden="1" x14ac:dyDescent="0.3">
      <c r="B83" s="53"/>
      <c r="C83" s="33">
        <v>244</v>
      </c>
      <c r="D83" s="33" t="s">
        <v>1039</v>
      </c>
      <c r="E83" s="33"/>
      <c r="F83" s="33"/>
      <c r="G83" s="33"/>
      <c r="H83" s="33" t="s">
        <v>36</v>
      </c>
      <c r="I83" s="33" t="s">
        <v>825</v>
      </c>
      <c r="J83" s="33" t="s">
        <v>826</v>
      </c>
      <c r="K83" s="33" t="str">
        <f t="shared" si="3"/>
        <v>S6</v>
      </c>
      <c r="L83" s="54" t="s">
        <v>65</v>
      </c>
      <c r="M83" s="33" t="s">
        <v>58</v>
      </c>
      <c r="N83" s="33" t="s">
        <v>58</v>
      </c>
      <c r="O83" s="33" t="s">
        <v>58</v>
      </c>
      <c r="P83" s="53" t="s">
        <v>33</v>
      </c>
      <c r="Q83" s="33" t="s">
        <v>34</v>
      </c>
      <c r="R83" s="33"/>
      <c r="S83" s="33" t="s">
        <v>938</v>
      </c>
      <c r="T83" s="27"/>
      <c r="U83" s="30">
        <v>0</v>
      </c>
      <c r="V83" s="30">
        <v>0</v>
      </c>
      <c r="W83" s="30">
        <v>0</v>
      </c>
      <c r="X83" s="28"/>
      <c r="Y83" s="9"/>
      <c r="Z83" s="9"/>
      <c r="AA83" s="27"/>
      <c r="AB83" s="29"/>
      <c r="AC83" s="29"/>
      <c r="AD83" s="29"/>
      <c r="AE83" s="29"/>
      <c r="AF83" s="29"/>
      <c r="AG83" s="29"/>
      <c r="AH83" s="29"/>
      <c r="AI83" s="28"/>
      <c r="AJ83" s="3" t="s">
        <v>42</v>
      </c>
      <c r="AK83" s="3" t="s">
        <v>43</v>
      </c>
    </row>
    <row r="84" spans="2:37" hidden="1" x14ac:dyDescent="0.3">
      <c r="B84" s="53"/>
      <c r="C84" s="33">
        <v>6</v>
      </c>
      <c r="D84" s="33" t="s">
        <v>1039</v>
      </c>
      <c r="E84" s="33"/>
      <c r="F84" s="33"/>
      <c r="G84" s="33"/>
      <c r="H84" s="33" t="s">
        <v>36</v>
      </c>
      <c r="I84" s="33" t="s">
        <v>63</v>
      </c>
      <c r="J84" s="33" t="s">
        <v>64</v>
      </c>
      <c r="K84" s="33" t="str">
        <f t="shared" si="3"/>
        <v>S1</v>
      </c>
      <c r="L84" s="54" t="s">
        <v>65</v>
      </c>
      <c r="M84" s="33" t="s">
        <v>58</v>
      </c>
      <c r="N84" s="33" t="s">
        <v>58</v>
      </c>
      <c r="O84" s="33" t="s">
        <v>58</v>
      </c>
      <c r="P84" s="53" t="s">
        <v>33</v>
      </c>
      <c r="Q84" s="33" t="s">
        <v>34</v>
      </c>
      <c r="R84" s="33"/>
      <c r="S84" s="33" t="s">
        <v>938</v>
      </c>
      <c r="T84" s="27"/>
      <c r="U84" s="30">
        <v>0</v>
      </c>
      <c r="V84" s="30">
        <v>0</v>
      </c>
      <c r="W84" s="30">
        <v>0</v>
      </c>
      <c r="X84" s="27"/>
      <c r="Y84" s="9"/>
      <c r="Z84" s="9"/>
      <c r="AA84" s="27"/>
      <c r="AB84" s="29"/>
      <c r="AC84" s="29"/>
      <c r="AD84" s="29"/>
      <c r="AE84" s="29"/>
      <c r="AF84" s="29"/>
      <c r="AG84" s="29"/>
      <c r="AH84" s="29"/>
      <c r="AI84" s="28"/>
      <c r="AJ84" s="3" t="s">
        <v>42</v>
      </c>
      <c r="AK84" s="3" t="s">
        <v>43</v>
      </c>
    </row>
    <row r="85" spans="2:37" hidden="1" x14ac:dyDescent="0.3">
      <c r="B85" s="53"/>
      <c r="C85" s="33">
        <v>7</v>
      </c>
      <c r="D85" s="33" t="s">
        <v>1039</v>
      </c>
      <c r="E85" s="33"/>
      <c r="F85" s="33"/>
      <c r="G85" s="33"/>
      <c r="H85" s="33" t="s">
        <v>36</v>
      </c>
      <c r="I85" s="33" t="s">
        <v>66</v>
      </c>
      <c r="J85" s="33" t="s">
        <v>67</v>
      </c>
      <c r="K85" s="33" t="str">
        <f t="shared" si="3"/>
        <v>S1</v>
      </c>
      <c r="L85" s="54" t="s">
        <v>65</v>
      </c>
      <c r="M85" s="33" t="s">
        <v>58</v>
      </c>
      <c r="N85" s="33" t="s">
        <v>58</v>
      </c>
      <c r="O85" s="33" t="s">
        <v>58</v>
      </c>
      <c r="P85" s="53" t="s">
        <v>33</v>
      </c>
      <c r="Q85" s="33" t="s">
        <v>34</v>
      </c>
      <c r="R85" s="33"/>
      <c r="S85" s="33" t="s">
        <v>938</v>
      </c>
      <c r="T85" s="27"/>
      <c r="U85" s="30">
        <v>0</v>
      </c>
      <c r="V85" s="30">
        <v>0</v>
      </c>
      <c r="W85" s="30">
        <v>0</v>
      </c>
      <c r="X85" s="28"/>
      <c r="Y85" s="9"/>
      <c r="Z85" s="9"/>
      <c r="AA85" s="27"/>
      <c r="AB85" s="29"/>
      <c r="AC85" s="29"/>
      <c r="AD85" s="29"/>
      <c r="AE85" s="29"/>
      <c r="AF85" s="29"/>
      <c r="AG85" s="29"/>
      <c r="AH85" s="29"/>
      <c r="AI85" s="28"/>
      <c r="AJ85" s="3" t="s">
        <v>42</v>
      </c>
      <c r="AK85" s="3" t="s">
        <v>43</v>
      </c>
    </row>
    <row r="86" spans="2:37" hidden="1" x14ac:dyDescent="0.3">
      <c r="B86" s="53"/>
      <c r="C86" s="33">
        <v>8</v>
      </c>
      <c r="D86" s="33" t="s">
        <v>1039</v>
      </c>
      <c r="E86" s="33"/>
      <c r="F86" s="33"/>
      <c r="G86" s="33"/>
      <c r="H86" s="33" t="s">
        <v>36</v>
      </c>
      <c r="I86" s="33" t="s">
        <v>68</v>
      </c>
      <c r="J86" s="33" t="s">
        <v>69</v>
      </c>
      <c r="K86" s="33" t="str">
        <f t="shared" si="3"/>
        <v>S1</v>
      </c>
      <c r="L86" s="54" t="s">
        <v>65</v>
      </c>
      <c r="M86" s="33" t="s">
        <v>58</v>
      </c>
      <c r="N86" s="33" t="s">
        <v>58</v>
      </c>
      <c r="O86" s="33" t="s">
        <v>58</v>
      </c>
      <c r="P86" s="53" t="s">
        <v>33</v>
      </c>
      <c r="Q86" s="33" t="s">
        <v>34</v>
      </c>
      <c r="R86" s="33"/>
      <c r="S86" s="33" t="s">
        <v>938</v>
      </c>
      <c r="T86" s="27"/>
      <c r="U86" s="30">
        <v>0</v>
      </c>
      <c r="V86" s="30">
        <v>0</v>
      </c>
      <c r="W86" s="30">
        <v>0</v>
      </c>
      <c r="X86" s="28"/>
      <c r="Y86" s="9"/>
      <c r="Z86" s="9"/>
      <c r="AA86" s="27"/>
      <c r="AB86" s="29"/>
      <c r="AC86" s="29"/>
      <c r="AD86" s="29"/>
      <c r="AE86" s="29"/>
      <c r="AF86" s="29"/>
      <c r="AG86" s="29"/>
      <c r="AH86" s="29"/>
      <c r="AI86" s="28"/>
      <c r="AJ86" s="3" t="s">
        <v>42</v>
      </c>
      <c r="AK86" s="3" t="s">
        <v>43</v>
      </c>
    </row>
    <row r="87" spans="2:37" hidden="1" x14ac:dyDescent="0.3">
      <c r="B87" s="53"/>
      <c r="C87" s="33">
        <v>245</v>
      </c>
      <c r="D87" s="33" t="s">
        <v>1039</v>
      </c>
      <c r="E87" s="33"/>
      <c r="F87" s="33"/>
      <c r="G87" s="33"/>
      <c r="H87" s="33" t="s">
        <v>36</v>
      </c>
      <c r="I87" s="33" t="s">
        <v>827</v>
      </c>
      <c r="J87" s="33" t="s">
        <v>828</v>
      </c>
      <c r="K87" s="33" t="str">
        <f t="shared" si="3"/>
        <v>S6</v>
      </c>
      <c r="L87" s="54" t="s">
        <v>65</v>
      </c>
      <c r="M87" s="33" t="s">
        <v>58</v>
      </c>
      <c r="N87" s="33" t="s">
        <v>58</v>
      </c>
      <c r="O87" s="33" t="s">
        <v>58</v>
      </c>
      <c r="P87" s="53" t="s">
        <v>33</v>
      </c>
      <c r="Q87" s="33" t="s">
        <v>34</v>
      </c>
      <c r="R87" s="33"/>
      <c r="S87" s="33" t="s">
        <v>938</v>
      </c>
      <c r="T87" s="27"/>
      <c r="U87" s="30">
        <v>0</v>
      </c>
      <c r="V87" s="30">
        <v>0</v>
      </c>
      <c r="W87" s="30">
        <v>0</v>
      </c>
      <c r="X87" s="28"/>
      <c r="Y87" s="9"/>
      <c r="Z87" s="9"/>
      <c r="AA87" s="27"/>
      <c r="AB87" s="29"/>
      <c r="AC87" s="29"/>
      <c r="AD87" s="29"/>
      <c r="AE87" s="29"/>
      <c r="AF87" s="29"/>
      <c r="AG87" s="29"/>
      <c r="AH87" s="29"/>
      <c r="AI87" s="28"/>
      <c r="AJ87" s="3" t="s">
        <v>283</v>
      </c>
      <c r="AK87" s="3" t="s">
        <v>284</v>
      </c>
    </row>
    <row r="88" spans="2:37" hidden="1" x14ac:dyDescent="0.3">
      <c r="B88" s="53"/>
      <c r="C88" s="33">
        <v>18</v>
      </c>
      <c r="D88" s="33" t="s">
        <v>1039</v>
      </c>
      <c r="E88" s="33"/>
      <c r="F88" s="33"/>
      <c r="G88" s="33"/>
      <c r="H88" s="33" t="s">
        <v>36</v>
      </c>
      <c r="I88" s="33" t="s">
        <v>103</v>
      </c>
      <c r="J88" s="33" t="s">
        <v>104</v>
      </c>
      <c r="K88" s="33" t="str">
        <f t="shared" si="3"/>
        <v>S1</v>
      </c>
      <c r="L88" s="54" t="s">
        <v>105</v>
      </c>
      <c r="M88" s="33" t="s">
        <v>58</v>
      </c>
      <c r="N88" s="33" t="s">
        <v>58</v>
      </c>
      <c r="O88" s="33" t="s">
        <v>58</v>
      </c>
      <c r="P88" s="53" t="s">
        <v>33</v>
      </c>
      <c r="Q88" s="33" t="s">
        <v>34</v>
      </c>
      <c r="R88" s="33"/>
      <c r="S88" s="33" t="s">
        <v>938</v>
      </c>
      <c r="T88" s="27"/>
      <c r="U88" s="30">
        <v>0</v>
      </c>
      <c r="V88" s="30">
        <v>0</v>
      </c>
      <c r="W88" s="30">
        <v>0</v>
      </c>
      <c r="X88" s="28"/>
      <c r="Y88" s="9"/>
      <c r="Z88" s="9"/>
      <c r="AA88" s="27"/>
      <c r="AB88" s="29"/>
      <c r="AC88" s="29"/>
      <c r="AD88" s="29"/>
      <c r="AE88" s="29"/>
      <c r="AF88" s="29"/>
      <c r="AG88" s="29"/>
      <c r="AH88" s="29"/>
      <c r="AI88" s="28"/>
      <c r="AJ88" s="3" t="s">
        <v>283</v>
      </c>
      <c r="AK88" s="3" t="s">
        <v>284</v>
      </c>
    </row>
    <row r="89" spans="2:37" hidden="1" x14ac:dyDescent="0.3">
      <c r="B89" s="53"/>
      <c r="C89" s="33">
        <v>19</v>
      </c>
      <c r="D89" s="33" t="s">
        <v>1039</v>
      </c>
      <c r="E89" s="33"/>
      <c r="F89" s="33"/>
      <c r="G89" s="33"/>
      <c r="H89" s="33" t="s">
        <v>36</v>
      </c>
      <c r="I89" s="33" t="s">
        <v>106</v>
      </c>
      <c r="J89" s="33" t="s">
        <v>107</v>
      </c>
      <c r="K89" s="33" t="str">
        <f t="shared" si="3"/>
        <v>S1</v>
      </c>
      <c r="L89" s="54" t="s">
        <v>108</v>
      </c>
      <c r="M89" s="33" t="s">
        <v>58</v>
      </c>
      <c r="N89" s="33" t="s">
        <v>58</v>
      </c>
      <c r="O89" s="33" t="s">
        <v>58</v>
      </c>
      <c r="P89" s="53" t="s">
        <v>33</v>
      </c>
      <c r="Q89" s="33" t="s">
        <v>34</v>
      </c>
      <c r="R89" s="33"/>
      <c r="S89" s="33" t="s">
        <v>938</v>
      </c>
      <c r="T89" s="27"/>
      <c r="U89" s="30">
        <v>0</v>
      </c>
      <c r="V89" s="30">
        <v>0</v>
      </c>
      <c r="W89" s="30">
        <v>0</v>
      </c>
      <c r="X89" s="28"/>
      <c r="Y89" s="9"/>
      <c r="Z89" s="9"/>
      <c r="AA89" s="27"/>
      <c r="AB89" s="29"/>
      <c r="AC89" s="29"/>
      <c r="AD89" s="29"/>
      <c r="AE89" s="29"/>
      <c r="AF89" s="29"/>
      <c r="AG89" s="29"/>
      <c r="AH89" s="29"/>
      <c r="AI89" s="28"/>
      <c r="AJ89" s="3" t="s">
        <v>283</v>
      </c>
      <c r="AK89" s="3" t="s">
        <v>284</v>
      </c>
    </row>
    <row r="90" spans="2:37" ht="28.8" hidden="1" x14ac:dyDescent="0.3">
      <c r="B90" s="53"/>
      <c r="C90" s="33">
        <v>20</v>
      </c>
      <c r="D90" s="33" t="s">
        <v>1039</v>
      </c>
      <c r="E90" s="33"/>
      <c r="F90" s="33"/>
      <c r="G90" s="33"/>
      <c r="H90" s="33" t="s">
        <v>109</v>
      </c>
      <c r="I90" s="33" t="s">
        <v>110</v>
      </c>
      <c r="J90" s="33" t="s">
        <v>111</v>
      </c>
      <c r="K90" s="33" t="str">
        <f t="shared" si="3"/>
        <v>S1</v>
      </c>
      <c r="L90" s="54" t="s">
        <v>112</v>
      </c>
      <c r="M90" s="33" t="s">
        <v>58</v>
      </c>
      <c r="N90" s="33" t="s">
        <v>58</v>
      </c>
      <c r="O90" s="33" t="s">
        <v>58</v>
      </c>
      <c r="P90" s="53" t="s">
        <v>213</v>
      </c>
      <c r="Q90" s="33" t="s">
        <v>34</v>
      </c>
      <c r="R90" s="33"/>
      <c r="S90" s="33" t="s">
        <v>938</v>
      </c>
      <c r="T90" s="27"/>
      <c r="U90" s="30">
        <v>0</v>
      </c>
      <c r="V90" s="30">
        <v>0</v>
      </c>
      <c r="W90" s="30">
        <v>0</v>
      </c>
      <c r="X90" s="28"/>
      <c r="Y90" s="9"/>
      <c r="Z90" s="9"/>
      <c r="AA90" s="27"/>
      <c r="AB90" s="29"/>
      <c r="AC90" s="29"/>
      <c r="AD90" s="29"/>
      <c r="AE90" s="29"/>
      <c r="AF90" s="29"/>
      <c r="AG90" s="29"/>
      <c r="AH90" s="29"/>
      <c r="AI90" s="28"/>
      <c r="AJ90" s="3" t="s">
        <v>42</v>
      </c>
      <c r="AK90" s="3" t="s">
        <v>43</v>
      </c>
    </row>
    <row r="91" spans="2:37" hidden="1" x14ac:dyDescent="0.3">
      <c r="B91" s="53"/>
      <c r="C91" s="33">
        <v>21</v>
      </c>
      <c r="D91" s="33" t="s">
        <v>1039</v>
      </c>
      <c r="E91" s="33"/>
      <c r="F91" s="33"/>
      <c r="G91" s="33"/>
      <c r="H91" s="33" t="s">
        <v>36</v>
      </c>
      <c r="I91" s="33" t="s">
        <v>113</v>
      </c>
      <c r="J91" s="33" t="s">
        <v>114</v>
      </c>
      <c r="K91" s="33" t="str">
        <f t="shared" si="3"/>
        <v>S1</v>
      </c>
      <c r="L91" s="54" t="s">
        <v>115</v>
      </c>
      <c r="M91" s="33" t="s">
        <v>58</v>
      </c>
      <c r="N91" s="33" t="s">
        <v>58</v>
      </c>
      <c r="O91" s="33" t="s">
        <v>58</v>
      </c>
      <c r="P91" s="53" t="s">
        <v>33</v>
      </c>
      <c r="Q91" s="33" t="s">
        <v>34</v>
      </c>
      <c r="R91" s="33"/>
      <c r="S91" s="33" t="s">
        <v>938</v>
      </c>
      <c r="T91" s="27"/>
      <c r="U91" s="30">
        <v>0</v>
      </c>
      <c r="V91" s="30">
        <v>0</v>
      </c>
      <c r="W91" s="30">
        <v>0</v>
      </c>
      <c r="X91" s="28"/>
      <c r="Y91" s="9"/>
      <c r="Z91" s="9"/>
      <c r="AA91" s="27"/>
      <c r="AB91" s="29"/>
      <c r="AC91" s="29"/>
      <c r="AD91" s="29"/>
      <c r="AE91" s="29"/>
      <c r="AF91" s="29"/>
      <c r="AG91" s="29"/>
      <c r="AH91" s="29"/>
      <c r="AI91" s="28"/>
      <c r="AJ91" s="3" t="s">
        <v>42</v>
      </c>
      <c r="AK91" s="3" t="s">
        <v>43</v>
      </c>
    </row>
    <row r="92" spans="2:37" hidden="1" x14ac:dyDescent="0.3">
      <c r="B92" s="53"/>
      <c r="C92" s="33">
        <v>22</v>
      </c>
      <c r="D92" s="33" t="s">
        <v>1039</v>
      </c>
      <c r="E92" s="33"/>
      <c r="F92" s="33"/>
      <c r="G92" s="33"/>
      <c r="H92" s="33" t="s">
        <v>36</v>
      </c>
      <c r="I92" s="33" t="s">
        <v>116</v>
      </c>
      <c r="J92" s="33" t="s">
        <v>117</v>
      </c>
      <c r="K92" s="33" t="str">
        <f t="shared" si="3"/>
        <v>S1</v>
      </c>
      <c r="L92" s="54" t="s">
        <v>118</v>
      </c>
      <c r="M92" s="33" t="s">
        <v>58</v>
      </c>
      <c r="N92" s="33" t="s">
        <v>58</v>
      </c>
      <c r="O92" s="33" t="s">
        <v>58</v>
      </c>
      <c r="P92" s="53" t="s">
        <v>33</v>
      </c>
      <c r="Q92" s="33" t="s">
        <v>34</v>
      </c>
      <c r="R92" s="33"/>
      <c r="S92" s="33" t="s">
        <v>938</v>
      </c>
      <c r="T92" s="27"/>
      <c r="U92" s="30">
        <v>0</v>
      </c>
      <c r="V92" s="30">
        <v>0</v>
      </c>
      <c r="W92" s="30">
        <v>0</v>
      </c>
      <c r="X92" s="28"/>
      <c r="Y92" s="9"/>
      <c r="Z92" s="9"/>
      <c r="AA92" s="27"/>
      <c r="AB92" s="29"/>
      <c r="AC92" s="29"/>
      <c r="AD92" s="29"/>
      <c r="AE92" s="29"/>
      <c r="AF92" s="29"/>
      <c r="AG92" s="29"/>
      <c r="AH92" s="29"/>
      <c r="AI92" s="28"/>
      <c r="AJ92" s="3" t="s">
        <v>42</v>
      </c>
      <c r="AK92" s="3" t="s">
        <v>43</v>
      </c>
    </row>
    <row r="93" spans="2:37" hidden="1" x14ac:dyDescent="0.3">
      <c r="B93" s="53"/>
      <c r="C93" s="53">
        <v>1032</v>
      </c>
      <c r="D93" s="33" t="s">
        <v>1039</v>
      </c>
      <c r="E93" s="33"/>
      <c r="F93" s="33"/>
      <c r="G93" s="33"/>
      <c r="H93" s="33" t="s">
        <v>119</v>
      </c>
      <c r="I93" s="55" t="s">
        <v>894</v>
      </c>
      <c r="J93" s="33" t="s">
        <v>895</v>
      </c>
      <c r="K93" s="33" t="str">
        <f t="shared" si="3"/>
        <v>S2</v>
      </c>
      <c r="L93" s="33" t="s">
        <v>896</v>
      </c>
      <c r="M93" s="33" t="s">
        <v>58</v>
      </c>
      <c r="N93" s="33" t="s">
        <v>58</v>
      </c>
      <c r="O93" s="33" t="s">
        <v>58</v>
      </c>
      <c r="P93" s="53" t="s">
        <v>213</v>
      </c>
      <c r="Q93" s="33" t="s">
        <v>1011</v>
      </c>
      <c r="R93" s="33"/>
      <c r="S93" s="33" t="s">
        <v>938</v>
      </c>
      <c r="T93" s="27"/>
      <c r="U93" s="30">
        <v>0</v>
      </c>
      <c r="V93" s="30">
        <v>0</v>
      </c>
      <c r="W93" s="30">
        <v>0</v>
      </c>
      <c r="X93" s="28"/>
      <c r="Y93" s="9"/>
      <c r="Z93" s="9"/>
      <c r="AA93" s="27"/>
      <c r="AB93" s="29"/>
      <c r="AC93" s="29"/>
      <c r="AD93" s="14" t="s">
        <v>35</v>
      </c>
      <c r="AE93" s="29"/>
      <c r="AF93" s="29"/>
      <c r="AG93" s="29"/>
      <c r="AH93" s="29"/>
      <c r="AI93" s="28"/>
      <c r="AJ93" s="3" t="s">
        <v>42</v>
      </c>
      <c r="AK93" s="3" t="s">
        <v>43</v>
      </c>
    </row>
    <row r="94" spans="2:37" ht="28.8" hidden="1" x14ac:dyDescent="0.3">
      <c r="B94" s="53"/>
      <c r="C94" s="33">
        <v>155</v>
      </c>
      <c r="D94" s="33" t="s">
        <v>1039</v>
      </c>
      <c r="E94" s="33"/>
      <c r="F94" s="33"/>
      <c r="G94" s="33"/>
      <c r="H94" s="33" t="s">
        <v>119</v>
      </c>
      <c r="I94" s="33" t="s">
        <v>558</v>
      </c>
      <c r="J94" s="33" t="s">
        <v>559</v>
      </c>
      <c r="K94" s="33" t="str">
        <f t="shared" si="3"/>
        <v>S2</v>
      </c>
      <c r="L94" s="54" t="s">
        <v>560</v>
      </c>
      <c r="M94" s="33" t="s">
        <v>58</v>
      </c>
      <c r="N94" s="33" t="s">
        <v>58</v>
      </c>
      <c r="O94" s="33" t="s">
        <v>58</v>
      </c>
      <c r="P94" s="53" t="s">
        <v>33</v>
      </c>
      <c r="Q94" s="33" t="s">
        <v>34</v>
      </c>
      <c r="R94" s="33"/>
      <c r="S94" s="33" t="s">
        <v>938</v>
      </c>
      <c r="T94" s="27"/>
      <c r="U94" s="30">
        <v>0</v>
      </c>
      <c r="V94" s="30">
        <v>0</v>
      </c>
      <c r="W94" s="30">
        <v>0</v>
      </c>
      <c r="X94" s="28"/>
      <c r="Y94" s="9"/>
      <c r="Z94" s="9"/>
      <c r="AA94" s="27"/>
      <c r="AB94" s="29"/>
      <c r="AC94" s="29"/>
      <c r="AD94" s="29"/>
      <c r="AE94" s="29"/>
      <c r="AF94" s="29"/>
      <c r="AG94" s="29"/>
      <c r="AH94" s="29"/>
      <c r="AI94" s="28"/>
      <c r="AJ94" s="3" t="s">
        <v>42</v>
      </c>
      <c r="AK94" s="3" t="s">
        <v>43</v>
      </c>
    </row>
    <row r="95" spans="2:37" ht="52.95" hidden="1" customHeight="1" x14ac:dyDescent="0.3">
      <c r="B95" s="53"/>
      <c r="C95" s="33">
        <v>41</v>
      </c>
      <c r="D95" s="33" t="s">
        <v>1050</v>
      </c>
      <c r="E95" s="33"/>
      <c r="F95" s="33"/>
      <c r="G95" s="33"/>
      <c r="H95" s="33" t="s">
        <v>119</v>
      </c>
      <c r="I95" s="33" t="s">
        <v>185</v>
      </c>
      <c r="J95" s="33" t="s">
        <v>186</v>
      </c>
      <c r="K95" s="33" t="str">
        <f t="shared" ref="K95:K126" si="4">+LEFT(J95,2)</f>
        <v>S1</v>
      </c>
      <c r="L95" s="54" t="s">
        <v>147</v>
      </c>
      <c r="M95" s="33" t="s">
        <v>58</v>
      </c>
      <c r="N95" s="33" t="s">
        <v>58</v>
      </c>
      <c r="O95" s="33" t="s">
        <v>58</v>
      </c>
      <c r="P95" s="53" t="s">
        <v>213</v>
      </c>
      <c r="Q95" s="33" t="s">
        <v>34</v>
      </c>
      <c r="R95" s="33"/>
      <c r="S95" s="33" t="s">
        <v>938</v>
      </c>
      <c r="T95" s="27"/>
      <c r="U95" s="30">
        <v>0</v>
      </c>
      <c r="V95" s="30">
        <v>0</v>
      </c>
      <c r="W95" s="30">
        <v>0</v>
      </c>
      <c r="X95" s="28"/>
      <c r="Y95" s="9"/>
      <c r="Z95" s="9"/>
      <c r="AA95" s="27"/>
      <c r="AB95" s="29"/>
      <c r="AC95" s="29"/>
      <c r="AD95" s="29"/>
      <c r="AE95" s="29"/>
      <c r="AF95" s="29"/>
      <c r="AG95" s="29"/>
      <c r="AH95" s="29"/>
      <c r="AI95" s="28"/>
      <c r="AJ95" s="3" t="s">
        <v>42</v>
      </c>
      <c r="AK95" s="3" t="s">
        <v>43</v>
      </c>
    </row>
    <row r="96" spans="2:37" hidden="1" x14ac:dyDescent="0.3">
      <c r="B96" s="53"/>
      <c r="C96" s="33">
        <v>161</v>
      </c>
      <c r="D96" s="33" t="s">
        <v>1039</v>
      </c>
      <c r="E96" s="33"/>
      <c r="F96" s="33"/>
      <c r="G96" s="33"/>
      <c r="H96" s="33" t="s">
        <v>119</v>
      </c>
      <c r="I96" s="33" t="s">
        <v>576</v>
      </c>
      <c r="J96" s="33" t="s">
        <v>577</v>
      </c>
      <c r="K96" s="33" t="str">
        <f t="shared" si="4"/>
        <v>S2</v>
      </c>
      <c r="L96" s="54" t="s">
        <v>57</v>
      </c>
      <c r="M96" s="33" t="s">
        <v>58</v>
      </c>
      <c r="N96" s="33" t="s">
        <v>58</v>
      </c>
      <c r="O96" s="33" t="s">
        <v>58</v>
      </c>
      <c r="P96" s="53" t="s">
        <v>33</v>
      </c>
      <c r="Q96" s="33" t="s">
        <v>34</v>
      </c>
      <c r="R96" s="33"/>
      <c r="S96" s="33" t="s">
        <v>938</v>
      </c>
      <c r="T96" s="27"/>
      <c r="U96" s="30">
        <v>0</v>
      </c>
      <c r="V96" s="30">
        <v>0</v>
      </c>
      <c r="W96" s="30">
        <v>0</v>
      </c>
      <c r="X96" s="28"/>
      <c r="Y96" s="9"/>
      <c r="Z96" s="9"/>
      <c r="AA96" s="27"/>
      <c r="AB96" s="29"/>
      <c r="AC96" s="29"/>
      <c r="AD96" s="29"/>
      <c r="AE96" s="29"/>
      <c r="AF96" s="29"/>
      <c r="AG96" s="29"/>
      <c r="AH96" s="29"/>
      <c r="AI96" s="28"/>
      <c r="AJ96" s="3" t="s">
        <v>42</v>
      </c>
      <c r="AK96" s="3" t="s">
        <v>43</v>
      </c>
    </row>
    <row r="97" spans="2:37" hidden="1" x14ac:dyDescent="0.3">
      <c r="B97" s="53"/>
      <c r="C97" s="53">
        <v>1045</v>
      </c>
      <c r="D97" s="33" t="s">
        <v>1039</v>
      </c>
      <c r="E97" s="33"/>
      <c r="F97" s="33"/>
      <c r="G97" s="33"/>
      <c r="H97" s="33" t="s">
        <v>119</v>
      </c>
      <c r="I97" s="55" t="s">
        <v>903</v>
      </c>
      <c r="J97" s="33" t="s">
        <v>904</v>
      </c>
      <c r="K97" s="33" t="str">
        <f t="shared" si="4"/>
        <v>S2</v>
      </c>
      <c r="L97" s="33" t="s">
        <v>905</v>
      </c>
      <c r="M97" s="33" t="s">
        <v>58</v>
      </c>
      <c r="N97" s="33" t="s">
        <v>58</v>
      </c>
      <c r="O97" s="33" t="s">
        <v>58</v>
      </c>
      <c r="P97" s="53" t="s">
        <v>213</v>
      </c>
      <c r="Q97" s="33" t="s">
        <v>1011</v>
      </c>
      <c r="R97" s="33"/>
      <c r="S97" s="33" t="s">
        <v>938</v>
      </c>
      <c r="T97" s="27"/>
      <c r="U97" s="30">
        <v>0</v>
      </c>
      <c r="V97" s="30">
        <v>0</v>
      </c>
      <c r="W97" s="30">
        <v>0</v>
      </c>
      <c r="X97" s="28"/>
      <c r="Y97" s="9"/>
      <c r="Z97" s="9"/>
      <c r="AA97" s="27"/>
      <c r="AB97" s="29"/>
      <c r="AC97" s="29"/>
      <c r="AD97" s="29"/>
      <c r="AE97" s="29"/>
      <c r="AF97" s="29"/>
      <c r="AG97" s="29"/>
      <c r="AH97" s="29"/>
      <c r="AI97" s="28"/>
      <c r="AJ97" s="3" t="s">
        <v>42</v>
      </c>
      <c r="AK97" s="3" t="s">
        <v>75</v>
      </c>
    </row>
    <row r="98" spans="2:37" hidden="1" x14ac:dyDescent="0.3">
      <c r="B98" s="53"/>
      <c r="C98" s="33">
        <v>180</v>
      </c>
      <c r="D98" s="33" t="s">
        <v>1039</v>
      </c>
      <c r="E98" s="33"/>
      <c r="F98" s="33"/>
      <c r="G98" s="33"/>
      <c r="H98" s="33" t="s">
        <v>119</v>
      </c>
      <c r="I98" s="33" t="s">
        <v>634</v>
      </c>
      <c r="J98" s="33" t="s">
        <v>635</v>
      </c>
      <c r="K98" s="33" t="str">
        <f t="shared" si="4"/>
        <v>S2</v>
      </c>
      <c r="L98" s="54" t="s">
        <v>636</v>
      </c>
      <c r="M98" s="33" t="s">
        <v>58</v>
      </c>
      <c r="N98" s="33" t="s">
        <v>58</v>
      </c>
      <c r="O98" s="33" t="s">
        <v>58</v>
      </c>
      <c r="P98" s="53" t="s">
        <v>1010</v>
      </c>
      <c r="Q98" s="33" t="s">
        <v>34</v>
      </c>
      <c r="R98" s="33"/>
      <c r="S98" s="33" t="s">
        <v>938</v>
      </c>
      <c r="T98" s="27"/>
      <c r="U98" s="30">
        <v>0</v>
      </c>
      <c r="V98" s="30">
        <v>0</v>
      </c>
      <c r="W98" s="30">
        <v>0</v>
      </c>
      <c r="X98" s="28"/>
      <c r="Y98" s="9"/>
      <c r="Z98" s="9"/>
      <c r="AA98" s="27"/>
      <c r="AB98" s="29"/>
      <c r="AC98" s="29"/>
      <c r="AD98" s="29"/>
      <c r="AE98" s="29"/>
      <c r="AF98" s="29"/>
      <c r="AG98" s="29"/>
      <c r="AH98" s="29"/>
      <c r="AI98" s="28"/>
      <c r="AJ98" s="3" t="s">
        <v>42</v>
      </c>
      <c r="AK98" s="3" t="s">
        <v>75</v>
      </c>
    </row>
    <row r="99" spans="2:37" ht="52.95" hidden="1" customHeight="1" x14ac:dyDescent="0.3">
      <c r="B99" s="53"/>
      <c r="C99" s="33">
        <v>202</v>
      </c>
      <c r="D99" s="33" t="s">
        <v>1039</v>
      </c>
      <c r="E99" s="33"/>
      <c r="F99" s="33"/>
      <c r="G99" s="33"/>
      <c r="H99" s="33" t="s">
        <v>119</v>
      </c>
      <c r="I99" s="33" t="s">
        <v>685</v>
      </c>
      <c r="J99" s="33" t="s">
        <v>686</v>
      </c>
      <c r="K99" s="33" t="str">
        <f t="shared" si="4"/>
        <v>S2</v>
      </c>
      <c r="L99" s="54" t="s">
        <v>687</v>
      </c>
      <c r="M99" s="33" t="s">
        <v>58</v>
      </c>
      <c r="N99" s="33" t="s">
        <v>58</v>
      </c>
      <c r="O99" s="33" t="s">
        <v>58</v>
      </c>
      <c r="P99" s="53" t="s">
        <v>33</v>
      </c>
      <c r="Q99" s="33" t="s">
        <v>34</v>
      </c>
      <c r="R99" s="33"/>
      <c r="S99" s="33" t="s">
        <v>938</v>
      </c>
      <c r="T99" s="27"/>
      <c r="U99" s="30">
        <v>0</v>
      </c>
      <c r="V99" s="30">
        <v>0</v>
      </c>
      <c r="W99" s="30">
        <v>0</v>
      </c>
      <c r="X99" s="28"/>
      <c r="Y99" s="9"/>
      <c r="Z99" s="9"/>
      <c r="AA99" s="27"/>
      <c r="AB99" s="29"/>
      <c r="AC99" s="29"/>
      <c r="AD99" s="29"/>
      <c r="AE99" s="29"/>
      <c r="AF99" s="29"/>
      <c r="AG99" s="29"/>
      <c r="AH99" s="29"/>
      <c r="AI99" s="28"/>
      <c r="AJ99" s="3" t="s">
        <v>42</v>
      </c>
      <c r="AK99" s="3" t="s">
        <v>75</v>
      </c>
    </row>
    <row r="100" spans="2:37" hidden="1" x14ac:dyDescent="0.3">
      <c r="B100" s="49"/>
      <c r="C100" s="42">
        <v>96</v>
      </c>
      <c r="D100" s="42"/>
      <c r="E100" s="42"/>
      <c r="F100" s="42"/>
      <c r="G100" s="42"/>
      <c r="H100" s="42" t="s">
        <v>119</v>
      </c>
      <c r="I100" s="42" t="s">
        <v>354</v>
      </c>
      <c r="J100" s="42" t="s">
        <v>355</v>
      </c>
      <c r="K100" s="42" t="str">
        <f t="shared" si="4"/>
        <v>S1</v>
      </c>
      <c r="L100" s="43" t="s">
        <v>356</v>
      </c>
      <c r="M100" s="42" t="s">
        <v>58</v>
      </c>
      <c r="N100" s="42" t="s">
        <v>58</v>
      </c>
      <c r="O100" s="52" t="s">
        <v>58</v>
      </c>
      <c r="P100" s="49" t="s">
        <v>213</v>
      </c>
      <c r="Q100" s="42" t="s">
        <v>1030</v>
      </c>
      <c r="R100" s="42"/>
      <c r="S100" s="44" t="s">
        <v>214</v>
      </c>
      <c r="T100" s="27"/>
      <c r="U100" s="30">
        <v>0</v>
      </c>
      <c r="V100" s="30">
        <v>0</v>
      </c>
      <c r="W100" s="30">
        <v>0</v>
      </c>
      <c r="X100" s="28"/>
      <c r="Y100" s="9"/>
      <c r="Z100" s="9"/>
      <c r="AA100" s="27"/>
      <c r="AB100" s="29"/>
      <c r="AC100" s="29"/>
      <c r="AD100" s="29"/>
      <c r="AE100" s="29"/>
      <c r="AF100" s="29"/>
      <c r="AG100" s="29"/>
      <c r="AH100" s="29"/>
      <c r="AI100" s="28"/>
      <c r="AJ100" s="3" t="s">
        <v>42</v>
      </c>
    </row>
    <row r="101" spans="2:37" hidden="1" x14ac:dyDescent="0.3">
      <c r="B101" s="49"/>
      <c r="C101" s="42">
        <v>97</v>
      </c>
      <c r="D101" s="42"/>
      <c r="E101" s="42"/>
      <c r="F101" s="42"/>
      <c r="G101" s="42"/>
      <c r="H101" s="42" t="s">
        <v>119</v>
      </c>
      <c r="I101" s="42" t="s">
        <v>357</v>
      </c>
      <c r="J101" s="42" t="s">
        <v>358</v>
      </c>
      <c r="K101" s="42" t="str">
        <f t="shared" si="4"/>
        <v>S1</v>
      </c>
      <c r="L101" s="43" t="s">
        <v>359</v>
      </c>
      <c r="M101" s="42" t="s">
        <v>58</v>
      </c>
      <c r="N101" s="42" t="s">
        <v>58</v>
      </c>
      <c r="O101" s="52" t="s">
        <v>58</v>
      </c>
      <c r="P101" s="49" t="s">
        <v>213</v>
      </c>
      <c r="Q101" s="42" t="s">
        <v>1030</v>
      </c>
      <c r="R101" s="42"/>
      <c r="S101" s="44" t="s">
        <v>214</v>
      </c>
      <c r="T101" s="27"/>
      <c r="U101" s="30">
        <v>0</v>
      </c>
      <c r="V101" s="30">
        <v>0</v>
      </c>
      <c r="W101" s="30">
        <v>0</v>
      </c>
      <c r="X101" s="28"/>
      <c r="Y101" s="9"/>
      <c r="Z101" s="9"/>
      <c r="AA101" s="27"/>
      <c r="AB101" s="29"/>
      <c r="AC101" s="29"/>
      <c r="AD101" s="29"/>
      <c r="AE101" s="29"/>
      <c r="AF101" s="29"/>
      <c r="AG101" s="29"/>
      <c r="AH101" s="29"/>
      <c r="AI101" s="28"/>
      <c r="AJ101" s="3" t="s">
        <v>42</v>
      </c>
      <c r="AK101" s="3" t="s">
        <v>75</v>
      </c>
    </row>
    <row r="102" spans="2:37" ht="28.8" hidden="1" x14ac:dyDescent="0.3">
      <c r="B102" s="49"/>
      <c r="C102" s="42">
        <v>98</v>
      </c>
      <c r="D102" s="42"/>
      <c r="E102" s="42"/>
      <c r="F102" s="42"/>
      <c r="G102" s="42"/>
      <c r="H102" s="42" t="s">
        <v>119</v>
      </c>
      <c r="I102" s="42" t="s">
        <v>360</v>
      </c>
      <c r="J102" s="42" t="s">
        <v>361</v>
      </c>
      <c r="K102" s="42" t="str">
        <f t="shared" si="4"/>
        <v>S1</v>
      </c>
      <c r="L102" s="43" t="s">
        <v>362</v>
      </c>
      <c r="M102" s="42" t="s">
        <v>73</v>
      </c>
      <c r="N102" s="42" t="s">
        <v>74</v>
      </c>
      <c r="O102" s="52" t="s">
        <v>58</v>
      </c>
      <c r="P102" s="49" t="s">
        <v>213</v>
      </c>
      <c r="Q102" s="42" t="s">
        <v>1030</v>
      </c>
      <c r="R102" s="42"/>
      <c r="S102" s="44" t="s">
        <v>214</v>
      </c>
      <c r="T102" s="27"/>
      <c r="U102" s="30">
        <v>0</v>
      </c>
      <c r="V102" s="30">
        <v>0</v>
      </c>
      <c r="W102" s="30">
        <v>0</v>
      </c>
      <c r="X102" s="28"/>
      <c r="Y102" s="9"/>
      <c r="Z102" s="9"/>
      <c r="AA102" s="27"/>
      <c r="AB102" s="29"/>
      <c r="AC102" s="29"/>
      <c r="AD102" s="29"/>
      <c r="AE102" s="29"/>
      <c r="AF102" s="29"/>
      <c r="AG102" s="29"/>
      <c r="AH102" s="29"/>
      <c r="AI102" s="28"/>
      <c r="AJ102" s="3" t="s">
        <v>42</v>
      </c>
      <c r="AK102" s="3" t="s">
        <v>75</v>
      </c>
    </row>
    <row r="103" spans="2:37" hidden="1" x14ac:dyDescent="0.3">
      <c r="B103" s="13"/>
      <c r="C103" s="10">
        <v>123</v>
      </c>
      <c r="D103" s="79" t="s">
        <v>1045</v>
      </c>
      <c r="E103" s="10"/>
      <c r="F103" s="79" t="s">
        <v>1049</v>
      </c>
      <c r="G103" s="10"/>
      <c r="H103" s="10" t="s">
        <v>119</v>
      </c>
      <c r="I103" s="51" t="s">
        <v>457</v>
      </c>
      <c r="J103" s="10" t="s">
        <v>458</v>
      </c>
      <c r="K103" s="10" t="str">
        <f t="shared" si="4"/>
        <v>S2</v>
      </c>
      <c r="L103" s="26" t="s">
        <v>459</v>
      </c>
      <c r="M103" s="10" t="s">
        <v>92</v>
      </c>
      <c r="N103" s="10" t="s">
        <v>92</v>
      </c>
      <c r="O103" s="10" t="s">
        <v>974</v>
      </c>
      <c r="P103" s="13" t="s">
        <v>213</v>
      </c>
      <c r="Q103" s="10" t="s">
        <v>34</v>
      </c>
      <c r="R103" s="10"/>
      <c r="S103" s="10"/>
      <c r="T103" s="27"/>
      <c r="U103" s="30">
        <v>0</v>
      </c>
      <c r="V103" s="30">
        <v>0</v>
      </c>
      <c r="W103" s="30">
        <v>0</v>
      </c>
      <c r="X103" s="28"/>
      <c r="Y103" s="9"/>
      <c r="Z103" s="9"/>
      <c r="AA103" s="27"/>
      <c r="AB103" s="29"/>
      <c r="AC103" s="29"/>
      <c r="AD103" s="29"/>
      <c r="AE103" s="29"/>
      <c r="AF103" s="29"/>
      <c r="AG103" s="14" t="s">
        <v>35</v>
      </c>
      <c r="AH103" s="29"/>
      <c r="AI103" s="28"/>
      <c r="AJ103" s="3" t="s">
        <v>42</v>
      </c>
      <c r="AK103" s="3" t="s">
        <v>75</v>
      </c>
    </row>
    <row r="104" spans="2:37" hidden="1" x14ac:dyDescent="0.3">
      <c r="B104" s="49"/>
      <c r="C104" s="42">
        <v>100</v>
      </c>
      <c r="D104" s="42"/>
      <c r="E104" s="42"/>
      <c r="F104" s="42"/>
      <c r="G104" s="42"/>
      <c r="H104" s="42" t="s">
        <v>119</v>
      </c>
      <c r="I104" s="42" t="s">
        <v>366</v>
      </c>
      <c r="J104" s="42" t="s">
        <v>367</v>
      </c>
      <c r="K104" s="42" t="str">
        <f t="shared" si="4"/>
        <v>S1</v>
      </c>
      <c r="L104" s="43" t="s">
        <v>368</v>
      </c>
      <c r="M104" s="42" t="s">
        <v>73</v>
      </c>
      <c r="N104" s="42" t="s">
        <v>343</v>
      </c>
      <c r="O104" s="52" t="s">
        <v>58</v>
      </c>
      <c r="P104" s="49" t="s">
        <v>213</v>
      </c>
      <c r="Q104" s="42" t="s">
        <v>1030</v>
      </c>
      <c r="R104" s="42"/>
      <c r="S104" s="44" t="s">
        <v>214</v>
      </c>
      <c r="T104" s="27"/>
      <c r="U104" s="30">
        <v>0</v>
      </c>
      <c r="V104" s="30">
        <v>0</v>
      </c>
      <c r="W104" s="30">
        <v>0</v>
      </c>
      <c r="X104" s="28"/>
      <c r="Y104" s="9"/>
      <c r="Z104" s="9"/>
      <c r="AA104" s="27"/>
      <c r="AB104" s="29"/>
      <c r="AC104" s="29"/>
      <c r="AD104" s="29"/>
      <c r="AE104" s="29"/>
      <c r="AF104" s="29"/>
      <c r="AG104" s="29"/>
      <c r="AH104" s="29"/>
      <c r="AI104" s="28"/>
      <c r="AJ104" s="3" t="s">
        <v>42</v>
      </c>
      <c r="AK104" s="3" t="s">
        <v>75</v>
      </c>
    </row>
    <row r="105" spans="2:37" ht="52.95" hidden="1" customHeight="1" x14ac:dyDescent="0.3">
      <c r="B105" s="13"/>
      <c r="C105" s="10">
        <v>124</v>
      </c>
      <c r="D105" s="10" t="s">
        <v>42</v>
      </c>
      <c r="E105" s="10"/>
      <c r="F105" s="79" t="s">
        <v>1049</v>
      </c>
      <c r="G105" s="10"/>
      <c r="H105" s="10" t="s">
        <v>119</v>
      </c>
      <c r="I105" s="51" t="s">
        <v>460</v>
      </c>
      <c r="J105" s="10" t="s">
        <v>461</v>
      </c>
      <c r="K105" s="10" t="str">
        <f t="shared" si="4"/>
        <v>S2</v>
      </c>
      <c r="L105" s="26" t="s">
        <v>462</v>
      </c>
      <c r="M105" s="10" t="s">
        <v>92</v>
      </c>
      <c r="N105" s="10" t="s">
        <v>92</v>
      </c>
      <c r="O105" s="10" t="s">
        <v>950</v>
      </c>
      <c r="P105" s="13" t="s">
        <v>33</v>
      </c>
      <c r="Q105" s="10" t="s">
        <v>34</v>
      </c>
      <c r="R105" s="10"/>
      <c r="S105" s="10"/>
      <c r="T105" s="27"/>
      <c r="U105" s="30">
        <v>0</v>
      </c>
      <c r="V105" s="30">
        <v>0</v>
      </c>
      <c r="W105" s="30">
        <v>0</v>
      </c>
      <c r="X105" s="28"/>
      <c r="Y105" s="9"/>
      <c r="Z105" s="9"/>
      <c r="AA105" s="27"/>
      <c r="AB105" s="29"/>
      <c r="AC105" s="29"/>
      <c r="AD105" s="14" t="s">
        <v>35</v>
      </c>
      <c r="AE105" s="29"/>
      <c r="AF105" s="29"/>
      <c r="AG105" s="14" t="s">
        <v>35</v>
      </c>
      <c r="AH105" s="29"/>
      <c r="AI105" s="28"/>
      <c r="AJ105" s="3" t="s">
        <v>42</v>
      </c>
    </row>
    <row r="106" spans="2:37" ht="52.95" hidden="1" customHeight="1" x14ac:dyDescent="0.3">
      <c r="B106" s="13"/>
      <c r="C106" s="10">
        <v>125</v>
      </c>
      <c r="D106" s="79" t="s">
        <v>1045</v>
      </c>
      <c r="E106" s="10"/>
      <c r="F106" s="79" t="s">
        <v>1049</v>
      </c>
      <c r="G106" s="10"/>
      <c r="H106" s="10" t="s">
        <v>109</v>
      </c>
      <c r="I106" s="51" t="s">
        <v>463</v>
      </c>
      <c r="J106" s="10" t="s">
        <v>464</v>
      </c>
      <c r="K106" s="10" t="str">
        <f t="shared" si="4"/>
        <v>S2</v>
      </c>
      <c r="L106" s="26" t="s">
        <v>465</v>
      </c>
      <c r="M106" s="10" t="s">
        <v>92</v>
      </c>
      <c r="N106" s="10" t="s">
        <v>92</v>
      </c>
      <c r="O106" s="10" t="s">
        <v>975</v>
      </c>
      <c r="P106" s="13" t="s">
        <v>33</v>
      </c>
      <c r="Q106" s="10" t="s">
        <v>34</v>
      </c>
      <c r="R106" s="10"/>
      <c r="S106" s="10"/>
      <c r="T106" s="27"/>
      <c r="U106" s="30">
        <v>0</v>
      </c>
      <c r="V106" s="30">
        <v>0</v>
      </c>
      <c r="W106" s="30">
        <v>0</v>
      </c>
      <c r="X106" s="28"/>
      <c r="Y106" s="9"/>
      <c r="Z106" s="9"/>
      <c r="AA106" s="27"/>
      <c r="AB106" s="14" t="s">
        <v>35</v>
      </c>
      <c r="AC106" s="29"/>
      <c r="AD106" s="29"/>
      <c r="AE106" s="29"/>
      <c r="AF106" s="29"/>
      <c r="AG106" s="14" t="s">
        <v>35</v>
      </c>
      <c r="AH106" s="29"/>
      <c r="AI106" s="28"/>
      <c r="AJ106" s="3" t="s">
        <v>42</v>
      </c>
    </row>
    <row r="107" spans="2:37" hidden="1" x14ac:dyDescent="0.3">
      <c r="B107" s="13"/>
      <c r="C107" s="10">
        <v>126</v>
      </c>
      <c r="D107" s="79" t="s">
        <v>1045</v>
      </c>
      <c r="E107" s="10"/>
      <c r="F107" s="79" t="s">
        <v>1049</v>
      </c>
      <c r="G107" s="10"/>
      <c r="H107" s="10" t="s">
        <v>109</v>
      </c>
      <c r="I107" s="51" t="s">
        <v>466</v>
      </c>
      <c r="J107" s="10" t="s">
        <v>467</v>
      </c>
      <c r="K107" s="10" t="str">
        <f t="shared" si="4"/>
        <v>S2</v>
      </c>
      <c r="L107" s="26" t="s">
        <v>468</v>
      </c>
      <c r="M107" s="10" t="s">
        <v>92</v>
      </c>
      <c r="N107" s="10" t="s">
        <v>92</v>
      </c>
      <c r="O107" s="10" t="s">
        <v>950</v>
      </c>
      <c r="P107" s="13" t="s">
        <v>33</v>
      </c>
      <c r="Q107" s="10" t="s">
        <v>34</v>
      </c>
      <c r="R107" s="10"/>
      <c r="S107" s="10"/>
      <c r="T107" s="27"/>
      <c r="U107" s="30">
        <v>0</v>
      </c>
      <c r="V107" s="30">
        <v>0</v>
      </c>
      <c r="W107" s="30">
        <v>0</v>
      </c>
      <c r="X107" s="28"/>
      <c r="Y107" s="9"/>
      <c r="Z107" s="9"/>
      <c r="AA107" s="27"/>
      <c r="AB107" s="29"/>
      <c r="AC107" s="29"/>
      <c r="AD107" s="14" t="s">
        <v>35</v>
      </c>
      <c r="AE107" s="29"/>
      <c r="AF107" s="29"/>
      <c r="AG107" s="14" t="s">
        <v>35</v>
      </c>
      <c r="AH107" s="29"/>
      <c r="AI107" s="28"/>
      <c r="AJ107" s="3" t="s">
        <v>283</v>
      </c>
      <c r="AK107" s="3" t="s">
        <v>284</v>
      </c>
    </row>
    <row r="108" spans="2:37" hidden="1" x14ac:dyDescent="0.3">
      <c r="B108" s="13"/>
      <c r="C108" s="10">
        <v>14</v>
      </c>
      <c r="D108" s="10" t="s">
        <v>42</v>
      </c>
      <c r="E108" s="79" t="s">
        <v>1045</v>
      </c>
      <c r="F108" s="79" t="s">
        <v>1049</v>
      </c>
      <c r="G108" s="10"/>
      <c r="H108" s="10" t="s">
        <v>36</v>
      </c>
      <c r="I108" s="10" t="s">
        <v>89</v>
      </c>
      <c r="J108" s="10" t="s">
        <v>90</v>
      </c>
      <c r="K108" s="10" t="str">
        <f t="shared" si="4"/>
        <v>S1</v>
      </c>
      <c r="L108" s="26" t="s">
        <v>91</v>
      </c>
      <c r="M108" s="10" t="s">
        <v>92</v>
      </c>
      <c r="N108" s="10" t="s">
        <v>92</v>
      </c>
      <c r="O108" s="10" t="s">
        <v>950</v>
      </c>
      <c r="P108" s="13" t="s">
        <v>33</v>
      </c>
      <c r="Q108" s="10" t="s">
        <v>34</v>
      </c>
      <c r="R108" s="10"/>
      <c r="S108" s="10"/>
      <c r="T108" s="27"/>
      <c r="U108" s="30">
        <v>0</v>
      </c>
      <c r="V108" s="30">
        <v>0</v>
      </c>
      <c r="W108" s="30">
        <v>0</v>
      </c>
      <c r="X108" s="28"/>
      <c r="Y108" s="9"/>
      <c r="Z108" s="9"/>
      <c r="AA108" s="27"/>
      <c r="AB108" s="29"/>
      <c r="AC108" s="29"/>
      <c r="AD108" s="14" t="s">
        <v>35</v>
      </c>
      <c r="AE108" s="29"/>
      <c r="AF108" s="29"/>
      <c r="AG108" s="14" t="s">
        <v>35</v>
      </c>
      <c r="AH108" s="29"/>
      <c r="AI108" s="28"/>
      <c r="AJ108" s="3" t="s">
        <v>42</v>
      </c>
      <c r="AK108" s="3" t="s">
        <v>43</v>
      </c>
    </row>
    <row r="109" spans="2:37" hidden="1" x14ac:dyDescent="0.3">
      <c r="B109" s="13"/>
      <c r="C109" s="10">
        <v>127</v>
      </c>
      <c r="D109" s="10" t="s">
        <v>42</v>
      </c>
      <c r="E109" s="10"/>
      <c r="F109" s="10"/>
      <c r="G109" s="10"/>
      <c r="H109" s="10" t="s">
        <v>119</v>
      </c>
      <c r="I109" s="51" t="s">
        <v>469</v>
      </c>
      <c r="J109" s="10" t="s">
        <v>470</v>
      </c>
      <c r="K109" s="10" t="str">
        <f t="shared" si="4"/>
        <v>S2</v>
      </c>
      <c r="L109" s="26" t="s">
        <v>471</v>
      </c>
      <c r="M109" s="10" t="s">
        <v>92</v>
      </c>
      <c r="N109" s="10" t="s">
        <v>92</v>
      </c>
      <c r="O109" s="10" t="s">
        <v>951</v>
      </c>
      <c r="P109" s="13" t="s">
        <v>33</v>
      </c>
      <c r="Q109" s="10" t="s">
        <v>34</v>
      </c>
      <c r="R109" s="10"/>
      <c r="S109" s="10"/>
      <c r="T109" s="27"/>
      <c r="U109" s="30">
        <v>0</v>
      </c>
      <c r="V109" s="30">
        <v>0</v>
      </c>
      <c r="W109" s="30">
        <v>0</v>
      </c>
      <c r="X109" s="28"/>
      <c r="Y109" s="9"/>
      <c r="Z109" s="9"/>
      <c r="AA109" s="27"/>
      <c r="AB109" s="29"/>
      <c r="AC109" s="29"/>
      <c r="AD109" s="14" t="s">
        <v>35</v>
      </c>
      <c r="AE109" s="29"/>
      <c r="AF109" s="29"/>
      <c r="AG109" s="29"/>
      <c r="AH109" s="29"/>
      <c r="AI109" s="28"/>
      <c r="AJ109" s="3" t="s">
        <v>42</v>
      </c>
      <c r="AK109" s="3" t="s">
        <v>390</v>
      </c>
    </row>
    <row r="110" spans="2:37" hidden="1" x14ac:dyDescent="0.3">
      <c r="B110" s="13"/>
      <c r="C110" s="10">
        <v>128</v>
      </c>
      <c r="D110" s="10" t="s">
        <v>42</v>
      </c>
      <c r="E110" s="10"/>
      <c r="F110" s="10"/>
      <c r="G110" s="10"/>
      <c r="H110" s="10" t="s">
        <v>119</v>
      </c>
      <c r="I110" s="51" t="s">
        <v>472</v>
      </c>
      <c r="J110" s="10" t="s">
        <v>473</v>
      </c>
      <c r="K110" s="10" t="str">
        <f t="shared" si="4"/>
        <v>S2</v>
      </c>
      <c r="L110" s="26" t="s">
        <v>474</v>
      </c>
      <c r="M110" s="10" t="s">
        <v>92</v>
      </c>
      <c r="N110" s="10" t="s">
        <v>92</v>
      </c>
      <c r="O110" s="10" t="s">
        <v>951</v>
      </c>
      <c r="P110" s="13" t="s">
        <v>33</v>
      </c>
      <c r="Q110" s="10" t="s">
        <v>34</v>
      </c>
      <c r="R110" s="10"/>
      <c r="S110" s="10"/>
      <c r="T110" s="27"/>
      <c r="U110" s="30">
        <v>0</v>
      </c>
      <c r="V110" s="30">
        <v>0</v>
      </c>
      <c r="W110" s="30">
        <v>0</v>
      </c>
      <c r="X110" s="28"/>
      <c r="Y110" s="9"/>
      <c r="Z110" s="9"/>
      <c r="AA110" s="27"/>
      <c r="AB110" s="29"/>
      <c r="AC110" s="29"/>
      <c r="AD110" s="14" t="s">
        <v>35</v>
      </c>
      <c r="AE110" s="29"/>
      <c r="AF110" s="29"/>
      <c r="AG110" s="29"/>
      <c r="AH110" s="29"/>
      <c r="AI110" s="28"/>
      <c r="AJ110" s="3" t="s">
        <v>42</v>
      </c>
      <c r="AK110" s="3" t="s">
        <v>390</v>
      </c>
    </row>
    <row r="111" spans="2:37" hidden="1" x14ac:dyDescent="0.3">
      <c r="B111" s="13"/>
      <c r="C111" s="10">
        <v>129</v>
      </c>
      <c r="D111" s="10" t="s">
        <v>42</v>
      </c>
      <c r="E111" s="10"/>
      <c r="F111" s="10"/>
      <c r="G111" s="10"/>
      <c r="H111" s="10" t="s">
        <v>109</v>
      </c>
      <c r="I111" s="51" t="s">
        <v>475</v>
      </c>
      <c r="J111" s="10" t="s">
        <v>476</v>
      </c>
      <c r="K111" s="10" t="str">
        <f t="shared" si="4"/>
        <v>S2</v>
      </c>
      <c r="L111" s="26" t="s">
        <v>477</v>
      </c>
      <c r="M111" s="10" t="s">
        <v>92</v>
      </c>
      <c r="N111" s="10" t="s">
        <v>92</v>
      </c>
      <c r="O111" s="10" t="s">
        <v>951</v>
      </c>
      <c r="P111" s="13" t="s">
        <v>33</v>
      </c>
      <c r="Q111" s="10" t="s">
        <v>34</v>
      </c>
      <c r="R111" s="10"/>
      <c r="S111" s="10"/>
      <c r="T111" s="27"/>
      <c r="U111" s="30">
        <v>0</v>
      </c>
      <c r="V111" s="30">
        <v>0</v>
      </c>
      <c r="W111" s="30">
        <v>0</v>
      </c>
      <c r="X111" s="28"/>
      <c r="Y111" s="9"/>
      <c r="Z111" s="9"/>
      <c r="AA111" s="27"/>
      <c r="AB111" s="29"/>
      <c r="AC111" s="29"/>
      <c r="AD111" s="14" t="s">
        <v>35</v>
      </c>
      <c r="AE111" s="29"/>
      <c r="AF111" s="29"/>
      <c r="AG111" s="29"/>
      <c r="AH111" s="29"/>
      <c r="AI111" s="28"/>
      <c r="AJ111" s="3" t="s">
        <v>42</v>
      </c>
      <c r="AK111" s="3" t="s">
        <v>390</v>
      </c>
    </row>
    <row r="112" spans="2:37" hidden="1" x14ac:dyDescent="0.3">
      <c r="B112" s="13"/>
      <c r="C112" s="10">
        <v>15</v>
      </c>
      <c r="D112" s="10" t="s">
        <v>42</v>
      </c>
      <c r="E112" s="75" t="s">
        <v>1046</v>
      </c>
      <c r="F112" s="10"/>
      <c r="G112" s="10"/>
      <c r="H112" s="10" t="s">
        <v>36</v>
      </c>
      <c r="I112" s="10" t="s">
        <v>93</v>
      </c>
      <c r="J112" s="10" t="s">
        <v>94</v>
      </c>
      <c r="K112" s="10" t="str">
        <f t="shared" si="4"/>
        <v>S1</v>
      </c>
      <c r="L112" s="26" t="s">
        <v>95</v>
      </c>
      <c r="M112" s="10" t="s">
        <v>92</v>
      </c>
      <c r="N112" s="10" t="s">
        <v>92</v>
      </c>
      <c r="O112" s="10" t="s">
        <v>951</v>
      </c>
      <c r="P112" s="13" t="s">
        <v>33</v>
      </c>
      <c r="Q112" s="10" t="s">
        <v>34</v>
      </c>
      <c r="R112" s="10"/>
      <c r="S112" s="10"/>
      <c r="T112" s="27"/>
      <c r="U112" s="30">
        <v>0</v>
      </c>
      <c r="V112" s="30">
        <v>0</v>
      </c>
      <c r="W112" s="30">
        <v>0</v>
      </c>
      <c r="X112" s="28"/>
      <c r="Y112" s="9"/>
      <c r="Z112" s="9"/>
      <c r="AA112" s="27"/>
      <c r="AB112" s="29"/>
      <c r="AC112" s="29"/>
      <c r="AD112" s="14" t="s">
        <v>35</v>
      </c>
      <c r="AE112" s="29"/>
      <c r="AF112" s="29"/>
      <c r="AG112" s="29"/>
      <c r="AH112" s="29"/>
      <c r="AI112" s="28"/>
      <c r="AJ112" s="3" t="s">
        <v>42</v>
      </c>
      <c r="AK112" s="3" t="s">
        <v>390</v>
      </c>
    </row>
    <row r="113" spans="2:37" hidden="1" x14ac:dyDescent="0.3">
      <c r="B113" s="13"/>
      <c r="C113" s="10">
        <v>16</v>
      </c>
      <c r="D113" s="10" t="s">
        <v>42</v>
      </c>
      <c r="E113" s="75" t="s">
        <v>1046</v>
      </c>
      <c r="F113" s="10"/>
      <c r="G113" s="10"/>
      <c r="H113" s="10" t="s">
        <v>36</v>
      </c>
      <c r="I113" s="10" t="s">
        <v>97</v>
      </c>
      <c r="J113" s="10" t="s">
        <v>98</v>
      </c>
      <c r="K113" s="10" t="str">
        <f t="shared" si="4"/>
        <v>S1</v>
      </c>
      <c r="L113" s="26" t="s">
        <v>99</v>
      </c>
      <c r="M113" s="10" t="s">
        <v>92</v>
      </c>
      <c r="N113" s="10" t="s">
        <v>92</v>
      </c>
      <c r="O113" s="10" t="s">
        <v>951</v>
      </c>
      <c r="P113" s="13" t="s">
        <v>33</v>
      </c>
      <c r="Q113" s="10" t="s">
        <v>34</v>
      </c>
      <c r="R113" s="10"/>
      <c r="S113" s="10"/>
      <c r="T113" s="27"/>
      <c r="U113" s="30">
        <v>0</v>
      </c>
      <c r="V113" s="30">
        <v>0</v>
      </c>
      <c r="W113" s="30">
        <v>0</v>
      </c>
      <c r="X113" s="28"/>
      <c r="Y113" s="9"/>
      <c r="Z113" s="9"/>
      <c r="AA113" s="27"/>
      <c r="AB113" s="29"/>
      <c r="AC113" s="29"/>
      <c r="AD113" s="14" t="s">
        <v>35</v>
      </c>
      <c r="AE113" s="29"/>
      <c r="AF113" s="29"/>
      <c r="AG113" s="29"/>
      <c r="AH113" s="29"/>
      <c r="AI113" s="28"/>
      <c r="AJ113" s="3" t="s">
        <v>42</v>
      </c>
      <c r="AK113" s="3" t="s">
        <v>390</v>
      </c>
    </row>
    <row r="114" spans="2:37" hidden="1" x14ac:dyDescent="0.3">
      <c r="B114" s="13"/>
      <c r="C114" s="10">
        <v>130</v>
      </c>
      <c r="D114" s="10" t="s">
        <v>42</v>
      </c>
      <c r="E114" s="10"/>
      <c r="F114" s="10"/>
      <c r="G114" s="10"/>
      <c r="H114" s="10" t="s">
        <v>109</v>
      </c>
      <c r="I114" s="51" t="s">
        <v>478</v>
      </c>
      <c r="J114" s="10" t="s">
        <v>479</v>
      </c>
      <c r="K114" s="10" t="str">
        <f t="shared" si="4"/>
        <v>S2</v>
      </c>
      <c r="L114" s="26" t="s">
        <v>480</v>
      </c>
      <c r="M114" s="10" t="s">
        <v>92</v>
      </c>
      <c r="N114" s="10" t="s">
        <v>92</v>
      </c>
      <c r="O114" s="10" t="s">
        <v>951</v>
      </c>
      <c r="P114" s="13" t="s">
        <v>33</v>
      </c>
      <c r="Q114" s="10" t="s">
        <v>34</v>
      </c>
      <c r="R114" s="10"/>
      <c r="S114" s="10"/>
      <c r="T114" s="27"/>
      <c r="U114" s="30">
        <v>0</v>
      </c>
      <c r="V114" s="30">
        <v>0</v>
      </c>
      <c r="W114" s="30">
        <v>0</v>
      </c>
      <c r="X114" s="28"/>
      <c r="Y114" s="9"/>
      <c r="Z114" s="9"/>
      <c r="AA114" s="27"/>
      <c r="AB114" s="29"/>
      <c r="AC114" s="29"/>
      <c r="AD114" s="14" t="s">
        <v>35</v>
      </c>
      <c r="AE114" s="29"/>
      <c r="AF114" s="29"/>
      <c r="AG114" s="29"/>
      <c r="AH114" s="29"/>
      <c r="AI114" s="28"/>
      <c r="AJ114" s="3" t="s">
        <v>42</v>
      </c>
      <c r="AK114" s="3" t="s">
        <v>390</v>
      </c>
    </row>
    <row r="115" spans="2:37" hidden="1" x14ac:dyDescent="0.3">
      <c r="B115" s="13"/>
      <c r="C115" s="10">
        <v>131</v>
      </c>
      <c r="D115" s="10" t="s">
        <v>42</v>
      </c>
      <c r="E115" s="10"/>
      <c r="F115" s="10"/>
      <c r="G115" s="10"/>
      <c r="H115" s="10" t="s">
        <v>119</v>
      </c>
      <c r="I115" s="51" t="s">
        <v>481</v>
      </c>
      <c r="J115" s="10" t="s">
        <v>482</v>
      </c>
      <c r="K115" s="10" t="str">
        <f t="shared" si="4"/>
        <v>S2</v>
      </c>
      <c r="L115" s="26" t="s">
        <v>483</v>
      </c>
      <c r="M115" s="10" t="s">
        <v>92</v>
      </c>
      <c r="N115" s="10" t="s">
        <v>92</v>
      </c>
      <c r="O115" s="10" t="s">
        <v>951</v>
      </c>
      <c r="P115" s="13" t="s">
        <v>33</v>
      </c>
      <c r="Q115" s="10" t="s">
        <v>34</v>
      </c>
      <c r="R115" s="10"/>
      <c r="S115" s="10"/>
      <c r="T115" s="27"/>
      <c r="U115" s="30">
        <v>0</v>
      </c>
      <c r="V115" s="30">
        <v>0</v>
      </c>
      <c r="W115" s="30">
        <v>0</v>
      </c>
      <c r="X115" s="28"/>
      <c r="Y115" s="9"/>
      <c r="Z115" s="9"/>
      <c r="AA115" s="27"/>
      <c r="AB115" s="29"/>
      <c r="AC115" s="29"/>
      <c r="AD115" s="14" t="s">
        <v>35</v>
      </c>
      <c r="AE115" s="29"/>
      <c r="AF115" s="29"/>
      <c r="AG115" s="29"/>
      <c r="AH115" s="29"/>
      <c r="AI115" s="28"/>
      <c r="AJ115" s="3" t="s">
        <v>42</v>
      </c>
      <c r="AK115" s="3" t="s">
        <v>390</v>
      </c>
    </row>
    <row r="116" spans="2:37" hidden="1" x14ac:dyDescent="0.3">
      <c r="B116" s="13"/>
      <c r="C116" s="10">
        <v>132</v>
      </c>
      <c r="D116" s="10" t="s">
        <v>42</v>
      </c>
      <c r="E116" s="10"/>
      <c r="F116" s="10"/>
      <c r="G116" s="10"/>
      <c r="H116" s="10" t="s">
        <v>119</v>
      </c>
      <c r="I116" s="51" t="s">
        <v>484</v>
      </c>
      <c r="J116" s="10" t="s">
        <v>485</v>
      </c>
      <c r="K116" s="10" t="str">
        <f t="shared" si="4"/>
        <v>S2</v>
      </c>
      <c r="L116" s="26" t="s">
        <v>486</v>
      </c>
      <c r="M116" s="10" t="s">
        <v>92</v>
      </c>
      <c r="N116" s="10" t="s">
        <v>92</v>
      </c>
      <c r="O116" s="10" t="s">
        <v>952</v>
      </c>
      <c r="P116" s="13" t="s">
        <v>33</v>
      </c>
      <c r="Q116" s="10" t="s">
        <v>34</v>
      </c>
      <c r="R116" s="10"/>
      <c r="S116" s="10"/>
      <c r="T116" s="27"/>
      <c r="U116" s="30">
        <v>0</v>
      </c>
      <c r="V116" s="30">
        <v>0</v>
      </c>
      <c r="W116" s="30">
        <v>0</v>
      </c>
      <c r="X116" s="28"/>
      <c r="Y116" s="9"/>
      <c r="Z116" s="9"/>
      <c r="AA116" s="27"/>
      <c r="AB116" s="14" t="s">
        <v>35</v>
      </c>
      <c r="AC116" s="14" t="s">
        <v>35</v>
      </c>
      <c r="AD116" s="14" t="s">
        <v>35</v>
      </c>
      <c r="AE116" s="29"/>
      <c r="AF116" s="29"/>
      <c r="AG116" s="29"/>
      <c r="AH116" s="29"/>
      <c r="AI116" s="28"/>
      <c r="AJ116" s="3" t="s">
        <v>42</v>
      </c>
      <c r="AK116" s="3" t="s">
        <v>390</v>
      </c>
    </row>
    <row r="117" spans="2:37" hidden="1" x14ac:dyDescent="0.3">
      <c r="B117" s="13"/>
      <c r="C117" s="10">
        <v>133</v>
      </c>
      <c r="D117" s="10" t="s">
        <v>42</v>
      </c>
      <c r="E117" s="10"/>
      <c r="F117" s="10"/>
      <c r="G117" s="10"/>
      <c r="H117" s="10" t="s">
        <v>109</v>
      </c>
      <c r="I117" s="51" t="s">
        <v>487</v>
      </c>
      <c r="J117" s="10" t="s">
        <v>488</v>
      </c>
      <c r="K117" s="10" t="str">
        <f t="shared" si="4"/>
        <v>S2</v>
      </c>
      <c r="L117" s="26" t="s">
        <v>489</v>
      </c>
      <c r="M117" s="10" t="s">
        <v>92</v>
      </c>
      <c r="N117" s="10" t="s">
        <v>92</v>
      </c>
      <c r="O117" s="10" t="s">
        <v>952</v>
      </c>
      <c r="P117" s="13" t="s">
        <v>33</v>
      </c>
      <c r="Q117" s="10" t="s">
        <v>34</v>
      </c>
      <c r="R117" s="10"/>
      <c r="S117" s="10"/>
      <c r="T117" s="27"/>
      <c r="U117" s="30">
        <v>0</v>
      </c>
      <c r="V117" s="30">
        <v>0</v>
      </c>
      <c r="W117" s="30">
        <v>0</v>
      </c>
      <c r="X117" s="28"/>
      <c r="Y117" s="9"/>
      <c r="Z117" s="9"/>
      <c r="AA117" s="27"/>
      <c r="AB117" s="14" t="s">
        <v>35</v>
      </c>
      <c r="AC117" s="14" t="s">
        <v>35</v>
      </c>
      <c r="AD117" s="14" t="s">
        <v>35</v>
      </c>
      <c r="AE117" s="29"/>
      <c r="AF117" s="29"/>
      <c r="AG117" s="29"/>
      <c r="AH117" s="29"/>
      <c r="AI117" s="28"/>
      <c r="AJ117" s="3" t="s">
        <v>42</v>
      </c>
      <c r="AK117" s="3" t="s">
        <v>390</v>
      </c>
    </row>
    <row r="118" spans="2:37" hidden="1" x14ac:dyDescent="0.3">
      <c r="B118" s="13"/>
      <c r="C118" s="10">
        <v>17</v>
      </c>
      <c r="D118" s="10" t="s">
        <v>42</v>
      </c>
      <c r="E118" s="10" t="s">
        <v>1042</v>
      </c>
      <c r="F118" s="10"/>
      <c r="G118" s="10"/>
      <c r="H118" s="10" t="s">
        <v>36</v>
      </c>
      <c r="I118" s="10" t="s">
        <v>100</v>
      </c>
      <c r="J118" s="10" t="s">
        <v>101</v>
      </c>
      <c r="K118" s="10" t="str">
        <f t="shared" si="4"/>
        <v>S1</v>
      </c>
      <c r="L118" s="26" t="s">
        <v>102</v>
      </c>
      <c r="M118" s="10" t="s">
        <v>92</v>
      </c>
      <c r="N118" s="10" t="s">
        <v>92</v>
      </c>
      <c r="O118" s="10" t="s">
        <v>952</v>
      </c>
      <c r="P118" s="13" t="s">
        <v>33</v>
      </c>
      <c r="Q118" s="10" t="s">
        <v>34</v>
      </c>
      <c r="R118" s="10"/>
      <c r="S118" s="10"/>
      <c r="T118" s="27"/>
      <c r="U118" s="30">
        <v>0</v>
      </c>
      <c r="V118" s="30">
        <v>0</v>
      </c>
      <c r="W118" s="30">
        <v>0</v>
      </c>
      <c r="X118" s="28"/>
      <c r="Y118" s="9"/>
      <c r="Z118" s="9"/>
      <c r="AA118" s="27"/>
      <c r="AB118" s="14" t="s">
        <v>35</v>
      </c>
      <c r="AC118" s="14" t="s">
        <v>35</v>
      </c>
      <c r="AD118" s="14" t="s">
        <v>35</v>
      </c>
      <c r="AE118" s="29"/>
      <c r="AF118" s="29"/>
      <c r="AG118" s="29"/>
      <c r="AH118" s="29"/>
      <c r="AI118" s="28"/>
      <c r="AJ118" s="3" t="s">
        <v>42</v>
      </c>
      <c r="AK118" s="3" t="s">
        <v>390</v>
      </c>
    </row>
    <row r="119" spans="2:37" hidden="1" x14ac:dyDescent="0.3">
      <c r="B119" s="53"/>
      <c r="C119" s="33">
        <v>134</v>
      </c>
      <c r="D119" s="33" t="s">
        <v>1039</v>
      </c>
      <c r="E119" s="33"/>
      <c r="F119" s="33"/>
      <c r="G119" s="33"/>
      <c r="H119" s="33" t="s">
        <v>119</v>
      </c>
      <c r="I119" s="33" t="s">
        <v>490</v>
      </c>
      <c r="J119" s="33" t="s">
        <v>491</v>
      </c>
      <c r="K119" s="33" t="str">
        <f t="shared" si="4"/>
        <v>S2</v>
      </c>
      <c r="L119" s="54" t="s">
        <v>492</v>
      </c>
      <c r="M119" s="33" t="s">
        <v>92</v>
      </c>
      <c r="N119" s="33" t="s">
        <v>92</v>
      </c>
      <c r="O119" s="33" t="s">
        <v>58</v>
      </c>
      <c r="P119" s="53" t="s">
        <v>213</v>
      </c>
      <c r="Q119" s="33" t="s">
        <v>34</v>
      </c>
      <c r="R119" s="33"/>
      <c r="S119" s="33" t="s">
        <v>938</v>
      </c>
      <c r="T119" s="27"/>
      <c r="U119" s="30">
        <v>0</v>
      </c>
      <c r="V119" s="30">
        <v>0</v>
      </c>
      <c r="W119" s="30">
        <v>0</v>
      </c>
      <c r="X119" s="28"/>
      <c r="Y119" s="9"/>
      <c r="Z119" s="9"/>
      <c r="AA119" s="27"/>
      <c r="AB119" s="29"/>
      <c r="AC119" s="29"/>
      <c r="AD119" s="29"/>
      <c r="AE119" s="29"/>
      <c r="AF119" s="29"/>
      <c r="AG119" s="29"/>
      <c r="AH119" s="29"/>
      <c r="AI119" s="28"/>
      <c r="AJ119" s="3" t="s">
        <v>42</v>
      </c>
      <c r="AK119" s="3" t="s">
        <v>390</v>
      </c>
    </row>
    <row r="120" spans="2:37" hidden="1" x14ac:dyDescent="0.3">
      <c r="B120" s="53"/>
      <c r="C120" s="33">
        <v>135</v>
      </c>
      <c r="D120" s="33" t="s">
        <v>1039</v>
      </c>
      <c r="E120" s="33"/>
      <c r="F120" s="33"/>
      <c r="G120" s="33"/>
      <c r="H120" s="33" t="s">
        <v>119</v>
      </c>
      <c r="I120" s="33" t="s">
        <v>493</v>
      </c>
      <c r="J120" s="33" t="s">
        <v>494</v>
      </c>
      <c r="K120" s="33" t="str">
        <f t="shared" si="4"/>
        <v>S2</v>
      </c>
      <c r="L120" s="54" t="s">
        <v>495</v>
      </c>
      <c r="M120" s="33" t="s">
        <v>92</v>
      </c>
      <c r="N120" s="33" t="s">
        <v>92</v>
      </c>
      <c r="O120" s="33" t="s">
        <v>58</v>
      </c>
      <c r="P120" s="53" t="s">
        <v>33</v>
      </c>
      <c r="Q120" s="33" t="s">
        <v>34</v>
      </c>
      <c r="R120" s="33"/>
      <c r="S120" s="33" t="s">
        <v>938</v>
      </c>
      <c r="T120" s="27"/>
      <c r="U120" s="30">
        <v>0</v>
      </c>
      <c r="V120" s="30">
        <v>0</v>
      </c>
      <c r="W120" s="30">
        <v>0</v>
      </c>
      <c r="X120" s="28"/>
      <c r="Y120" s="9"/>
      <c r="Z120" s="9"/>
      <c r="AA120" s="27"/>
      <c r="AB120" s="29"/>
      <c r="AC120" s="29"/>
      <c r="AD120" s="29"/>
      <c r="AE120" s="29"/>
      <c r="AF120" s="29"/>
      <c r="AG120" s="29"/>
      <c r="AH120" s="29"/>
      <c r="AI120" s="28"/>
      <c r="AJ120" s="3" t="s">
        <v>42</v>
      </c>
      <c r="AK120" s="3" t="s">
        <v>390</v>
      </c>
    </row>
    <row r="121" spans="2:37" ht="28.2" hidden="1" customHeight="1" x14ac:dyDescent="0.3">
      <c r="B121" s="53"/>
      <c r="C121" s="33">
        <v>209</v>
      </c>
      <c r="D121" s="33" t="s">
        <v>1039</v>
      </c>
      <c r="E121" s="33"/>
      <c r="F121" s="33"/>
      <c r="G121" s="33"/>
      <c r="H121" s="33" t="s">
        <v>109</v>
      </c>
      <c r="I121" s="33" t="s">
        <v>709</v>
      </c>
      <c r="J121" s="33" t="s">
        <v>710</v>
      </c>
      <c r="K121" s="33" t="str">
        <f t="shared" si="4"/>
        <v>S3</v>
      </c>
      <c r="L121" s="54" t="s">
        <v>711</v>
      </c>
      <c r="M121" s="33" t="s">
        <v>92</v>
      </c>
      <c r="N121" s="33" t="s">
        <v>92</v>
      </c>
      <c r="O121" s="33" t="s">
        <v>58</v>
      </c>
      <c r="P121" s="53" t="s">
        <v>33</v>
      </c>
      <c r="Q121" s="33" t="s">
        <v>34</v>
      </c>
      <c r="R121" s="33"/>
      <c r="S121" s="33" t="s">
        <v>938</v>
      </c>
      <c r="T121" s="27"/>
      <c r="U121" s="30">
        <v>0</v>
      </c>
      <c r="V121" s="30">
        <v>0</v>
      </c>
      <c r="W121" s="30">
        <v>0</v>
      </c>
      <c r="X121" s="28"/>
      <c r="Y121" s="9"/>
      <c r="Z121" s="9"/>
      <c r="AA121" s="27"/>
      <c r="AB121" s="29"/>
      <c r="AC121" s="29"/>
      <c r="AD121" s="29"/>
      <c r="AE121" s="29"/>
      <c r="AF121" s="29"/>
      <c r="AG121" s="29"/>
      <c r="AH121" s="29"/>
      <c r="AI121" s="28"/>
      <c r="AJ121" s="3" t="s">
        <v>42</v>
      </c>
      <c r="AK121" s="3" t="s">
        <v>390</v>
      </c>
    </row>
    <row r="122" spans="2:37" s="41" customFormat="1" hidden="1" x14ac:dyDescent="0.3">
      <c r="B122" s="49"/>
      <c r="C122" s="42">
        <v>118</v>
      </c>
      <c r="D122" s="42"/>
      <c r="E122" s="42"/>
      <c r="F122" s="42"/>
      <c r="G122" s="42"/>
      <c r="H122" s="42" t="s">
        <v>109</v>
      </c>
      <c r="I122" s="42" t="s">
        <v>442</v>
      </c>
      <c r="J122" s="42" t="s">
        <v>443</v>
      </c>
      <c r="K122" s="42" t="str">
        <f t="shared" si="4"/>
        <v>S1</v>
      </c>
      <c r="L122" s="43" t="s">
        <v>444</v>
      </c>
      <c r="M122" s="42" t="s">
        <v>47</v>
      </c>
      <c r="N122" s="42" t="s">
        <v>445</v>
      </c>
      <c r="O122" s="52" t="s">
        <v>58</v>
      </c>
      <c r="P122" s="49" t="s">
        <v>213</v>
      </c>
      <c r="Q122" s="42" t="s">
        <v>1030</v>
      </c>
      <c r="R122" s="42" t="s">
        <v>446</v>
      </c>
      <c r="S122" s="44" t="s">
        <v>214</v>
      </c>
      <c r="T122" s="45"/>
      <c r="U122" s="46">
        <v>124.752849002849</v>
      </c>
      <c r="V122" s="46">
        <v>0</v>
      </c>
      <c r="W122" s="46">
        <v>0</v>
      </c>
      <c r="X122" s="47"/>
      <c r="Y122" s="9"/>
      <c r="Z122" s="9"/>
      <c r="AA122" s="27"/>
      <c r="AB122" s="48"/>
      <c r="AC122" s="48"/>
      <c r="AD122" s="14" t="s">
        <v>35</v>
      </c>
      <c r="AE122" s="14" t="s">
        <v>35</v>
      </c>
      <c r="AF122" s="14" t="s">
        <v>35</v>
      </c>
      <c r="AG122" s="48"/>
      <c r="AH122" s="48"/>
      <c r="AI122" s="47"/>
      <c r="AJ122" s="44" t="s">
        <v>214</v>
      </c>
      <c r="AK122" s="44" t="s">
        <v>214</v>
      </c>
    </row>
    <row r="123" spans="2:37" ht="28.2" hidden="1" customHeight="1" x14ac:dyDescent="0.3">
      <c r="B123" s="53"/>
      <c r="C123" s="33">
        <v>249</v>
      </c>
      <c r="D123" s="33" t="s">
        <v>1039</v>
      </c>
      <c r="E123" s="33"/>
      <c r="F123" s="33"/>
      <c r="G123" s="33"/>
      <c r="H123" s="33" t="s">
        <v>807</v>
      </c>
      <c r="I123" s="33" t="s">
        <v>838</v>
      </c>
      <c r="J123" s="33" t="s">
        <v>839</v>
      </c>
      <c r="K123" s="33" t="str">
        <f t="shared" si="4"/>
        <v>S6</v>
      </c>
      <c r="L123" s="54" t="s">
        <v>840</v>
      </c>
      <c r="M123" s="33" t="s">
        <v>92</v>
      </c>
      <c r="N123" s="33" t="s">
        <v>92</v>
      </c>
      <c r="O123" s="33" t="s">
        <v>58</v>
      </c>
      <c r="P123" s="53" t="s">
        <v>33</v>
      </c>
      <c r="Q123" s="33" t="s">
        <v>34</v>
      </c>
      <c r="R123" s="33"/>
      <c r="S123" s="33" t="s">
        <v>938</v>
      </c>
      <c r="T123" s="27"/>
      <c r="U123" s="30">
        <v>0</v>
      </c>
      <c r="V123" s="30">
        <v>0</v>
      </c>
      <c r="W123" s="30">
        <v>0</v>
      </c>
      <c r="X123" s="28"/>
      <c r="Y123" s="9"/>
      <c r="Z123" s="9"/>
      <c r="AA123" s="27"/>
      <c r="AB123" s="29"/>
      <c r="AC123" s="29"/>
      <c r="AD123" s="29"/>
      <c r="AE123" s="29"/>
      <c r="AF123" s="29"/>
      <c r="AG123" s="29"/>
      <c r="AH123" s="29"/>
      <c r="AI123" s="28"/>
      <c r="AJ123" s="3" t="s">
        <v>42</v>
      </c>
      <c r="AK123" s="3" t="s">
        <v>450</v>
      </c>
    </row>
    <row r="124" spans="2:37" ht="28.2" hidden="1" customHeight="1" x14ac:dyDescent="0.3">
      <c r="B124" s="53"/>
      <c r="C124" s="33">
        <v>210</v>
      </c>
      <c r="D124" s="33" t="s">
        <v>1039</v>
      </c>
      <c r="E124" s="33"/>
      <c r="F124" s="33"/>
      <c r="G124" s="33"/>
      <c r="H124" s="33" t="s">
        <v>109</v>
      </c>
      <c r="I124" s="33" t="s">
        <v>712</v>
      </c>
      <c r="J124" s="33" t="s">
        <v>713</v>
      </c>
      <c r="K124" s="33" t="str">
        <f t="shared" si="4"/>
        <v>S3</v>
      </c>
      <c r="L124" s="54" t="s">
        <v>714</v>
      </c>
      <c r="M124" s="33" t="s">
        <v>92</v>
      </c>
      <c r="N124" s="33" t="s">
        <v>92</v>
      </c>
      <c r="O124" s="33" t="s">
        <v>58</v>
      </c>
      <c r="P124" s="53" t="s">
        <v>33</v>
      </c>
      <c r="Q124" s="33" t="s">
        <v>34</v>
      </c>
      <c r="R124" s="33"/>
      <c r="S124" s="33" t="s">
        <v>938</v>
      </c>
      <c r="T124" s="27"/>
      <c r="U124" s="30">
        <v>0</v>
      </c>
      <c r="V124" s="30">
        <v>0</v>
      </c>
      <c r="W124" s="30">
        <v>0</v>
      </c>
      <c r="X124" s="28"/>
      <c r="Y124" s="9"/>
      <c r="Z124" s="9"/>
      <c r="AA124" s="27"/>
      <c r="AB124" s="29"/>
      <c r="AC124" s="29"/>
      <c r="AD124" s="29"/>
      <c r="AE124" s="29"/>
      <c r="AF124" s="29"/>
      <c r="AG124" s="29"/>
      <c r="AH124" s="29"/>
      <c r="AI124" s="28"/>
      <c r="AJ124" s="3" t="s">
        <v>42</v>
      </c>
      <c r="AK124" s="3" t="s">
        <v>43</v>
      </c>
    </row>
    <row r="125" spans="2:37" hidden="1" x14ac:dyDescent="0.3">
      <c r="B125" s="53"/>
      <c r="C125" s="33">
        <v>136</v>
      </c>
      <c r="D125" s="33" t="s">
        <v>1039</v>
      </c>
      <c r="E125" s="33"/>
      <c r="F125" s="33"/>
      <c r="G125" s="33"/>
      <c r="H125" s="33" t="s">
        <v>119</v>
      </c>
      <c r="I125" s="33" t="s">
        <v>496</v>
      </c>
      <c r="J125" s="33" t="s">
        <v>497</v>
      </c>
      <c r="K125" s="33" t="str">
        <f t="shared" si="4"/>
        <v>S2</v>
      </c>
      <c r="L125" s="54" t="s">
        <v>498</v>
      </c>
      <c r="M125" s="33" t="s">
        <v>92</v>
      </c>
      <c r="N125" s="33" t="s">
        <v>92</v>
      </c>
      <c r="O125" s="33" t="s">
        <v>58</v>
      </c>
      <c r="P125" s="53" t="s">
        <v>33</v>
      </c>
      <c r="Q125" s="33" t="s">
        <v>34</v>
      </c>
      <c r="R125" s="33"/>
      <c r="S125" s="33" t="s">
        <v>938</v>
      </c>
      <c r="T125" s="27"/>
      <c r="U125" s="30">
        <v>0</v>
      </c>
      <c r="V125" s="30">
        <v>0</v>
      </c>
      <c r="W125" s="30">
        <v>0</v>
      </c>
      <c r="X125" s="28"/>
      <c r="Y125" s="9"/>
      <c r="Z125" s="9"/>
      <c r="AA125" s="27"/>
      <c r="AB125" s="29"/>
      <c r="AC125" s="29"/>
      <c r="AD125" s="29"/>
      <c r="AE125" s="29"/>
      <c r="AF125" s="29"/>
      <c r="AG125" s="29"/>
      <c r="AH125" s="29"/>
      <c r="AI125" s="28"/>
      <c r="AJ125" s="3" t="s">
        <v>183</v>
      </c>
      <c r="AK125" s="3" t="s">
        <v>284</v>
      </c>
    </row>
    <row r="126" spans="2:37" hidden="1" x14ac:dyDescent="0.3">
      <c r="B126" s="53"/>
      <c r="C126" s="33">
        <v>250</v>
      </c>
      <c r="D126" s="33" t="s">
        <v>1039</v>
      </c>
      <c r="E126" s="33"/>
      <c r="F126" s="33"/>
      <c r="G126" s="33"/>
      <c r="H126" s="33" t="s">
        <v>807</v>
      </c>
      <c r="I126" s="33" t="s">
        <v>841</v>
      </c>
      <c r="J126" s="33" t="s">
        <v>842</v>
      </c>
      <c r="K126" s="33" t="str">
        <f t="shared" si="4"/>
        <v>S6</v>
      </c>
      <c r="L126" s="54" t="s">
        <v>843</v>
      </c>
      <c r="M126" s="33" t="s">
        <v>92</v>
      </c>
      <c r="N126" s="33" t="s">
        <v>92</v>
      </c>
      <c r="O126" s="33" t="s">
        <v>58</v>
      </c>
      <c r="P126" s="53" t="s">
        <v>33</v>
      </c>
      <c r="Q126" s="33" t="s">
        <v>34</v>
      </c>
      <c r="R126" s="33"/>
      <c r="S126" s="33" t="s">
        <v>938</v>
      </c>
      <c r="T126" s="27"/>
      <c r="U126" s="30">
        <v>0</v>
      </c>
      <c r="V126" s="30">
        <v>0</v>
      </c>
      <c r="W126" s="30">
        <v>0</v>
      </c>
      <c r="X126" s="28"/>
      <c r="Y126" s="9"/>
      <c r="Z126" s="9"/>
      <c r="AA126" s="27"/>
      <c r="AB126" s="29"/>
      <c r="AC126" s="29"/>
      <c r="AD126" s="29"/>
      <c r="AE126" s="29"/>
      <c r="AF126" s="29"/>
      <c r="AG126" s="29"/>
      <c r="AH126" s="29"/>
      <c r="AI126" s="28"/>
      <c r="AJ126" s="3" t="s">
        <v>183</v>
      </c>
      <c r="AK126" s="3" t="s">
        <v>284</v>
      </c>
    </row>
    <row r="127" spans="2:37" hidden="1" x14ac:dyDescent="0.3">
      <c r="B127" s="53"/>
      <c r="C127" s="33">
        <v>137</v>
      </c>
      <c r="D127" s="33" t="s">
        <v>1039</v>
      </c>
      <c r="E127" s="33"/>
      <c r="F127" s="33"/>
      <c r="G127" s="33"/>
      <c r="H127" s="33" t="s">
        <v>119</v>
      </c>
      <c r="I127" s="33" t="s">
        <v>499</v>
      </c>
      <c r="J127" s="33" t="s">
        <v>500</v>
      </c>
      <c r="K127" s="33" t="str">
        <f t="shared" ref="K127:K158" si="5">+LEFT(J127,2)</f>
        <v>S2</v>
      </c>
      <c r="L127" s="54" t="s">
        <v>501</v>
      </c>
      <c r="M127" s="33" t="s">
        <v>92</v>
      </c>
      <c r="N127" s="33" t="s">
        <v>92</v>
      </c>
      <c r="O127" s="33" t="s">
        <v>58</v>
      </c>
      <c r="P127" s="53" t="s">
        <v>213</v>
      </c>
      <c r="Q127" s="33" t="s">
        <v>34</v>
      </c>
      <c r="R127" s="33"/>
      <c r="S127" s="33" t="s">
        <v>938</v>
      </c>
      <c r="T127" s="27"/>
      <c r="U127" s="30">
        <v>0</v>
      </c>
      <c r="V127" s="30">
        <v>0</v>
      </c>
      <c r="W127" s="30">
        <v>0</v>
      </c>
      <c r="X127" s="28"/>
      <c r="Y127" s="9"/>
      <c r="Z127" s="9"/>
      <c r="AA127" s="27"/>
      <c r="AB127" s="29"/>
      <c r="AC127" s="29"/>
      <c r="AD127" s="29"/>
      <c r="AE127" s="29"/>
      <c r="AF127" s="29"/>
      <c r="AG127" s="29"/>
      <c r="AH127" s="29"/>
      <c r="AI127" s="28"/>
      <c r="AJ127" s="3" t="s">
        <v>42</v>
      </c>
    </row>
    <row r="128" spans="2:37" hidden="1" x14ac:dyDescent="0.3">
      <c r="B128" s="53"/>
      <c r="C128" s="33">
        <v>138</v>
      </c>
      <c r="D128" s="33" t="s">
        <v>42</v>
      </c>
      <c r="E128" s="33"/>
      <c r="F128" s="33"/>
      <c r="G128" s="33"/>
      <c r="H128" s="33" t="s">
        <v>119</v>
      </c>
      <c r="I128" s="33" t="s">
        <v>502</v>
      </c>
      <c r="J128" s="33" t="s">
        <v>503</v>
      </c>
      <c r="K128" s="33" t="str">
        <f t="shared" si="5"/>
        <v>S2</v>
      </c>
      <c r="L128" s="54" t="s">
        <v>504</v>
      </c>
      <c r="M128" s="33" t="s">
        <v>92</v>
      </c>
      <c r="N128" s="33" t="s">
        <v>92</v>
      </c>
      <c r="O128" s="33" t="s">
        <v>58</v>
      </c>
      <c r="P128" s="53" t="s">
        <v>33</v>
      </c>
      <c r="Q128" s="33" t="s">
        <v>34</v>
      </c>
      <c r="R128" s="33"/>
      <c r="S128" s="33" t="s">
        <v>938</v>
      </c>
      <c r="T128" s="27"/>
      <c r="U128" s="30">
        <v>0</v>
      </c>
      <c r="V128" s="30">
        <v>0</v>
      </c>
      <c r="W128" s="30">
        <v>0</v>
      </c>
      <c r="X128" s="28"/>
      <c r="Y128" s="9"/>
      <c r="Z128" s="9"/>
      <c r="AA128" s="27"/>
      <c r="AB128" s="29"/>
      <c r="AC128" s="29"/>
      <c r="AD128" s="29"/>
      <c r="AE128" s="29"/>
      <c r="AF128" s="29"/>
      <c r="AG128" s="29"/>
      <c r="AH128" s="29"/>
      <c r="AI128" s="28"/>
      <c r="AJ128" s="3" t="s">
        <v>42</v>
      </c>
    </row>
    <row r="129" spans="2:37" ht="28.2" hidden="1" customHeight="1" x14ac:dyDescent="0.3">
      <c r="B129" s="13"/>
      <c r="C129" s="10">
        <v>211</v>
      </c>
      <c r="D129" s="10" t="s">
        <v>42</v>
      </c>
      <c r="E129" s="10"/>
      <c r="F129" s="10"/>
      <c r="G129" s="10"/>
      <c r="H129" s="10" t="s">
        <v>109</v>
      </c>
      <c r="I129" s="51" t="s">
        <v>715</v>
      </c>
      <c r="J129" s="10" t="s">
        <v>716</v>
      </c>
      <c r="K129" s="10" t="str">
        <f t="shared" si="5"/>
        <v>S3</v>
      </c>
      <c r="L129" s="26" t="s">
        <v>717</v>
      </c>
      <c r="M129" s="10" t="s">
        <v>92</v>
      </c>
      <c r="N129" s="10" t="s">
        <v>92</v>
      </c>
      <c r="O129" s="10" t="s">
        <v>951</v>
      </c>
      <c r="P129" s="13" t="s">
        <v>33</v>
      </c>
      <c r="Q129" s="10" t="s">
        <v>34</v>
      </c>
      <c r="R129" s="10"/>
      <c r="S129" s="10"/>
      <c r="T129" s="27"/>
      <c r="U129" s="30">
        <v>0</v>
      </c>
      <c r="V129" s="30">
        <v>0</v>
      </c>
      <c r="W129" s="30">
        <v>0</v>
      </c>
      <c r="X129" s="28"/>
      <c r="Y129" s="9"/>
      <c r="Z129" s="9"/>
      <c r="AA129" s="27"/>
      <c r="AB129" s="29"/>
      <c r="AC129" s="29"/>
      <c r="AD129" s="14" t="s">
        <v>35</v>
      </c>
      <c r="AE129" s="29"/>
      <c r="AF129" s="29"/>
      <c r="AG129" s="29"/>
      <c r="AH129" s="29"/>
      <c r="AI129" s="28"/>
      <c r="AJ129" s="3" t="s">
        <v>42</v>
      </c>
    </row>
    <row r="130" spans="2:37" ht="28.2" hidden="1" customHeight="1" x14ac:dyDescent="0.3">
      <c r="B130" s="53"/>
      <c r="C130" s="33">
        <v>139</v>
      </c>
      <c r="D130" s="33" t="s">
        <v>1039</v>
      </c>
      <c r="E130" s="33"/>
      <c r="F130" s="33"/>
      <c r="G130" s="33"/>
      <c r="H130" s="33" t="s">
        <v>119</v>
      </c>
      <c r="I130" s="33" t="s">
        <v>505</v>
      </c>
      <c r="J130" s="33" t="s">
        <v>506</v>
      </c>
      <c r="K130" s="33" t="str">
        <f t="shared" si="5"/>
        <v>S2</v>
      </c>
      <c r="L130" s="54" t="s">
        <v>507</v>
      </c>
      <c r="M130" s="33" t="s">
        <v>92</v>
      </c>
      <c r="N130" s="33" t="s">
        <v>92</v>
      </c>
      <c r="O130" s="33" t="s">
        <v>58</v>
      </c>
      <c r="P130" s="53" t="s">
        <v>33</v>
      </c>
      <c r="Q130" s="33" t="s">
        <v>34</v>
      </c>
      <c r="R130" s="33"/>
      <c r="S130" s="33" t="s">
        <v>938</v>
      </c>
      <c r="T130" s="27"/>
      <c r="U130" s="30">
        <v>0</v>
      </c>
      <c r="V130" s="30">
        <v>0</v>
      </c>
      <c r="W130" s="30">
        <v>0</v>
      </c>
      <c r="X130" s="28"/>
      <c r="Y130" s="9"/>
      <c r="Z130" s="9"/>
      <c r="AA130" s="27"/>
      <c r="AB130" s="29"/>
      <c r="AC130" s="29"/>
      <c r="AD130" s="29"/>
      <c r="AE130" s="29"/>
      <c r="AF130" s="29"/>
      <c r="AG130" s="29"/>
      <c r="AH130" s="29"/>
      <c r="AI130" s="28"/>
      <c r="AJ130" s="3" t="s">
        <v>42</v>
      </c>
    </row>
    <row r="131" spans="2:37" hidden="1" x14ac:dyDescent="0.3">
      <c r="B131" s="53"/>
      <c r="C131" s="33">
        <v>212</v>
      </c>
      <c r="D131" s="33" t="s">
        <v>1039</v>
      </c>
      <c r="E131" s="33"/>
      <c r="F131" s="33"/>
      <c r="G131" s="33"/>
      <c r="H131" s="33" t="s">
        <v>109</v>
      </c>
      <c r="I131" s="33" t="s">
        <v>718</v>
      </c>
      <c r="J131" s="33" t="s">
        <v>719</v>
      </c>
      <c r="K131" s="33" t="str">
        <f t="shared" si="5"/>
        <v>S3</v>
      </c>
      <c r="L131" s="54" t="s">
        <v>720</v>
      </c>
      <c r="M131" s="33" t="s">
        <v>92</v>
      </c>
      <c r="N131" s="33" t="s">
        <v>92</v>
      </c>
      <c r="O131" s="33" t="s">
        <v>58</v>
      </c>
      <c r="P131" s="53" t="s">
        <v>33</v>
      </c>
      <c r="Q131" s="33" t="s">
        <v>34</v>
      </c>
      <c r="R131" s="33"/>
      <c r="S131" s="33" t="s">
        <v>938</v>
      </c>
      <c r="T131" s="27"/>
      <c r="U131" s="30">
        <v>0</v>
      </c>
      <c r="V131" s="30">
        <v>0</v>
      </c>
      <c r="W131" s="30">
        <v>0</v>
      </c>
      <c r="X131" s="28"/>
      <c r="Y131" s="9"/>
      <c r="Z131" s="9"/>
      <c r="AA131" s="27"/>
      <c r="AB131" s="29"/>
      <c r="AC131" s="29"/>
      <c r="AD131" s="29"/>
      <c r="AE131" s="29"/>
      <c r="AF131" s="29"/>
      <c r="AG131" s="29"/>
      <c r="AH131" s="29"/>
      <c r="AI131" s="28"/>
      <c r="AJ131" s="3" t="s">
        <v>42</v>
      </c>
    </row>
    <row r="132" spans="2:37" hidden="1" x14ac:dyDescent="0.3">
      <c r="B132" s="53"/>
      <c r="C132" s="33">
        <v>251</v>
      </c>
      <c r="D132" s="33" t="s">
        <v>1039</v>
      </c>
      <c r="E132" s="33"/>
      <c r="F132" s="33"/>
      <c r="G132" s="33"/>
      <c r="H132" s="33" t="s">
        <v>807</v>
      </c>
      <c r="I132" s="33" t="s">
        <v>844</v>
      </c>
      <c r="J132" s="33" t="s">
        <v>845</v>
      </c>
      <c r="K132" s="33" t="str">
        <f t="shared" si="5"/>
        <v>S6</v>
      </c>
      <c r="L132" s="54" t="s">
        <v>846</v>
      </c>
      <c r="M132" s="33" t="s">
        <v>92</v>
      </c>
      <c r="N132" s="33" t="s">
        <v>92</v>
      </c>
      <c r="O132" s="33" t="s">
        <v>58</v>
      </c>
      <c r="P132" s="53" t="s">
        <v>33</v>
      </c>
      <c r="Q132" s="33" t="s">
        <v>34</v>
      </c>
      <c r="R132" s="33"/>
      <c r="S132" s="33" t="s">
        <v>938</v>
      </c>
      <c r="T132" s="27"/>
      <c r="U132" s="30">
        <v>0</v>
      </c>
      <c r="V132" s="30">
        <v>0</v>
      </c>
      <c r="W132" s="30">
        <v>0</v>
      </c>
      <c r="X132" s="28"/>
      <c r="Y132" s="9"/>
      <c r="Z132" s="9"/>
      <c r="AA132" s="27"/>
      <c r="AB132" s="29"/>
      <c r="AC132" s="29"/>
      <c r="AD132" s="29"/>
      <c r="AE132" s="29"/>
      <c r="AF132" s="29"/>
      <c r="AG132" s="29"/>
      <c r="AH132" s="29"/>
      <c r="AI132" s="28"/>
      <c r="AJ132" s="3" t="s">
        <v>35</v>
      </c>
      <c r="AK132" s="3" t="s">
        <v>96</v>
      </c>
    </row>
    <row r="133" spans="2:37" ht="28.2" hidden="1" customHeight="1" x14ac:dyDescent="0.3">
      <c r="B133" s="53"/>
      <c r="C133" s="33">
        <v>140</v>
      </c>
      <c r="D133" s="33" t="s">
        <v>1039</v>
      </c>
      <c r="E133" s="33"/>
      <c r="F133" s="33"/>
      <c r="G133" s="33"/>
      <c r="H133" s="33" t="s">
        <v>119</v>
      </c>
      <c r="I133" s="33" t="s">
        <v>508</v>
      </c>
      <c r="J133" s="33" t="s">
        <v>509</v>
      </c>
      <c r="K133" s="33" t="str">
        <f t="shared" si="5"/>
        <v>S2</v>
      </c>
      <c r="L133" s="54" t="s">
        <v>510</v>
      </c>
      <c r="M133" s="33" t="s">
        <v>92</v>
      </c>
      <c r="N133" s="33" t="s">
        <v>92</v>
      </c>
      <c r="O133" s="33" t="s">
        <v>58</v>
      </c>
      <c r="P133" s="53" t="s">
        <v>33</v>
      </c>
      <c r="Q133" s="33" t="s">
        <v>34</v>
      </c>
      <c r="R133" s="33"/>
      <c r="S133" s="33" t="s">
        <v>938</v>
      </c>
      <c r="T133" s="27"/>
      <c r="U133" s="30">
        <v>0</v>
      </c>
      <c r="V133" s="30">
        <v>0</v>
      </c>
      <c r="W133" s="30">
        <v>0</v>
      </c>
      <c r="X133" s="28"/>
      <c r="Y133" s="9"/>
      <c r="Z133" s="9"/>
      <c r="AA133" s="27"/>
      <c r="AB133" s="29"/>
      <c r="AC133" s="29"/>
      <c r="AD133" s="29"/>
      <c r="AE133" s="29"/>
      <c r="AF133" s="29"/>
      <c r="AG133" s="29"/>
      <c r="AH133" s="29"/>
      <c r="AI133" s="28"/>
      <c r="AJ133" s="3" t="s">
        <v>35</v>
      </c>
      <c r="AK133" s="3" t="s">
        <v>96</v>
      </c>
    </row>
    <row r="134" spans="2:37" ht="28.2" hidden="1" customHeight="1" x14ac:dyDescent="0.3">
      <c r="B134" s="13"/>
      <c r="C134" s="10">
        <v>142</v>
      </c>
      <c r="D134" s="10" t="s">
        <v>1038</v>
      </c>
      <c r="E134" s="10"/>
      <c r="F134" s="10"/>
      <c r="G134" s="10"/>
      <c r="H134" s="10" t="s">
        <v>109</v>
      </c>
      <c r="I134" s="51" t="s">
        <v>516</v>
      </c>
      <c r="J134" s="10" t="s">
        <v>517</v>
      </c>
      <c r="K134" s="10" t="str">
        <f t="shared" si="5"/>
        <v>S2</v>
      </c>
      <c r="L134" s="26" t="s">
        <v>518</v>
      </c>
      <c r="M134" s="10" t="s">
        <v>92</v>
      </c>
      <c r="N134" s="10" t="s">
        <v>92</v>
      </c>
      <c r="O134" s="10" t="s">
        <v>970</v>
      </c>
      <c r="P134" s="13" t="s">
        <v>33</v>
      </c>
      <c r="Q134" s="10" t="s">
        <v>34</v>
      </c>
      <c r="R134" s="10"/>
      <c r="S134" s="10" t="s">
        <v>519</v>
      </c>
      <c r="T134" s="27"/>
      <c r="U134" s="30">
        <v>0</v>
      </c>
      <c r="V134" s="30">
        <v>4.1421538856886153</v>
      </c>
      <c r="W134" s="30">
        <v>0</v>
      </c>
      <c r="X134" s="28"/>
      <c r="Y134" s="9"/>
      <c r="Z134" s="9"/>
      <c r="AA134" s="27"/>
      <c r="AB134" s="14" t="s">
        <v>35</v>
      </c>
      <c r="AC134" s="14" t="s">
        <v>35</v>
      </c>
      <c r="AD134" s="29"/>
      <c r="AE134" s="14" t="s">
        <v>35</v>
      </c>
      <c r="AF134" s="29"/>
      <c r="AG134" s="29"/>
      <c r="AH134" s="29"/>
      <c r="AI134" s="28"/>
      <c r="AJ134" s="3" t="s">
        <v>35</v>
      </c>
      <c r="AK134" s="3" t="s">
        <v>96</v>
      </c>
    </row>
    <row r="135" spans="2:37" hidden="1" x14ac:dyDescent="0.3">
      <c r="B135" s="13"/>
      <c r="C135" s="10">
        <v>146</v>
      </c>
      <c r="D135" s="10" t="s">
        <v>1038</v>
      </c>
      <c r="E135" s="10"/>
      <c r="F135" s="10"/>
      <c r="G135" s="10"/>
      <c r="H135" s="10" t="s">
        <v>119</v>
      </c>
      <c r="I135" s="51" t="s">
        <v>530</v>
      </c>
      <c r="J135" s="10" t="s">
        <v>531</v>
      </c>
      <c r="K135" s="10" t="str">
        <f t="shared" si="5"/>
        <v>S2</v>
      </c>
      <c r="L135" s="26" t="s">
        <v>532</v>
      </c>
      <c r="M135" s="10" t="s">
        <v>92</v>
      </c>
      <c r="N135" s="10" t="s">
        <v>92</v>
      </c>
      <c r="O135" s="10" t="s">
        <v>945</v>
      </c>
      <c r="P135" s="13" t="s">
        <v>33</v>
      </c>
      <c r="Q135" s="10" t="s">
        <v>34</v>
      </c>
      <c r="R135" s="10"/>
      <c r="S135" s="10" t="s">
        <v>533</v>
      </c>
      <c r="T135" s="27"/>
      <c r="U135" s="30">
        <v>0</v>
      </c>
      <c r="V135" s="30">
        <v>0</v>
      </c>
      <c r="W135" s="30">
        <v>0</v>
      </c>
      <c r="X135" s="28"/>
      <c r="Y135" s="9"/>
      <c r="Z135" s="9"/>
      <c r="AA135" s="27"/>
      <c r="AB135" s="14" t="s">
        <v>35</v>
      </c>
      <c r="AC135" s="29"/>
      <c r="AD135" s="29"/>
      <c r="AE135" s="29"/>
      <c r="AF135" s="29"/>
      <c r="AG135" s="29"/>
      <c r="AH135" s="29"/>
      <c r="AI135" s="28"/>
      <c r="AJ135" s="3" t="s">
        <v>35</v>
      </c>
      <c r="AK135" s="3" t="s">
        <v>96</v>
      </c>
    </row>
    <row r="136" spans="2:37" hidden="1" x14ac:dyDescent="0.3">
      <c r="B136" s="13"/>
      <c r="C136" s="10">
        <v>147</v>
      </c>
      <c r="D136" s="10" t="s">
        <v>1038</v>
      </c>
      <c r="E136" s="10"/>
      <c r="F136" s="10"/>
      <c r="G136" s="10"/>
      <c r="H136" s="10" t="s">
        <v>119</v>
      </c>
      <c r="I136" s="51" t="s">
        <v>534</v>
      </c>
      <c r="J136" s="10" t="s">
        <v>535</v>
      </c>
      <c r="K136" s="10" t="str">
        <f t="shared" si="5"/>
        <v>S2</v>
      </c>
      <c r="L136" s="26" t="s">
        <v>536</v>
      </c>
      <c r="M136" s="10" t="s">
        <v>92</v>
      </c>
      <c r="N136" s="10" t="s">
        <v>92</v>
      </c>
      <c r="O136" s="10" t="s">
        <v>944</v>
      </c>
      <c r="P136" s="13" t="s">
        <v>33</v>
      </c>
      <c r="Q136" s="10" t="s">
        <v>34</v>
      </c>
      <c r="R136" s="10"/>
      <c r="S136" s="10" t="s">
        <v>537</v>
      </c>
      <c r="T136" s="27"/>
      <c r="U136" s="30">
        <v>0</v>
      </c>
      <c r="V136" s="30">
        <v>0</v>
      </c>
      <c r="W136" s="30">
        <v>0</v>
      </c>
      <c r="X136" s="28"/>
      <c r="Y136" s="9"/>
      <c r="Z136" s="9"/>
      <c r="AA136" s="27"/>
      <c r="AB136" s="29"/>
      <c r="AC136" s="14" t="s">
        <v>35</v>
      </c>
      <c r="AD136" s="29"/>
      <c r="AE136" s="29"/>
      <c r="AF136" s="29"/>
      <c r="AG136" s="29"/>
      <c r="AH136" s="29"/>
      <c r="AI136" s="28"/>
      <c r="AJ136" s="3" t="s">
        <v>35</v>
      </c>
      <c r="AK136" s="3" t="s">
        <v>96</v>
      </c>
    </row>
    <row r="137" spans="2:37" ht="28.2" hidden="1" customHeight="1" x14ac:dyDescent="0.3">
      <c r="B137" s="13"/>
      <c r="C137" s="10">
        <v>24</v>
      </c>
      <c r="D137" s="10" t="s">
        <v>42</v>
      </c>
      <c r="E137" s="10"/>
      <c r="F137" s="10"/>
      <c r="G137" s="10"/>
      <c r="H137" s="10" t="s">
        <v>109</v>
      </c>
      <c r="I137" s="10" t="s">
        <v>123</v>
      </c>
      <c r="J137" s="10" t="s">
        <v>124</v>
      </c>
      <c r="K137" s="10" t="str">
        <f t="shared" si="5"/>
        <v>S1</v>
      </c>
      <c r="L137" s="26" t="s">
        <v>125</v>
      </c>
      <c r="M137" s="10" t="s">
        <v>92</v>
      </c>
      <c r="N137" s="10" t="s">
        <v>92</v>
      </c>
      <c r="O137" s="10" t="s">
        <v>945</v>
      </c>
      <c r="P137" s="13" t="s">
        <v>33</v>
      </c>
      <c r="Q137" s="10" t="s">
        <v>34</v>
      </c>
      <c r="R137" s="10"/>
      <c r="S137" s="10"/>
      <c r="T137" s="27"/>
      <c r="U137" s="30">
        <v>0</v>
      </c>
      <c r="V137" s="30">
        <v>0</v>
      </c>
      <c r="W137" s="30">
        <v>0</v>
      </c>
      <c r="X137" s="28"/>
      <c r="Y137" s="9"/>
      <c r="Z137" s="9"/>
      <c r="AA137" s="27"/>
      <c r="AB137" s="14" t="s">
        <v>35</v>
      </c>
      <c r="AC137" s="29"/>
      <c r="AD137" s="29"/>
      <c r="AE137" s="29"/>
      <c r="AF137" s="29"/>
      <c r="AG137" s="29"/>
      <c r="AH137" s="29"/>
      <c r="AI137" s="28"/>
      <c r="AJ137" s="3" t="s">
        <v>35</v>
      </c>
      <c r="AK137" s="3" t="s">
        <v>96</v>
      </c>
    </row>
    <row r="138" spans="2:37" hidden="1" x14ac:dyDescent="0.3">
      <c r="B138" s="13"/>
      <c r="C138" s="10">
        <v>25</v>
      </c>
      <c r="D138" s="10" t="s">
        <v>42</v>
      </c>
      <c r="E138" s="10"/>
      <c r="F138" s="10"/>
      <c r="G138" s="10"/>
      <c r="H138" s="10" t="s">
        <v>109</v>
      </c>
      <c r="I138" s="10" t="s">
        <v>127</v>
      </c>
      <c r="J138" s="10" t="s">
        <v>128</v>
      </c>
      <c r="K138" s="10" t="str">
        <f t="shared" si="5"/>
        <v>S1</v>
      </c>
      <c r="L138" s="26" t="s">
        <v>129</v>
      </c>
      <c r="M138" s="10" t="s">
        <v>92</v>
      </c>
      <c r="N138" s="10" t="s">
        <v>92</v>
      </c>
      <c r="O138" s="10" t="s">
        <v>944</v>
      </c>
      <c r="P138" s="13" t="s">
        <v>33</v>
      </c>
      <c r="Q138" s="10" t="s">
        <v>34</v>
      </c>
      <c r="R138" s="10"/>
      <c r="S138" s="10"/>
      <c r="T138" s="27"/>
      <c r="U138" s="30">
        <v>0</v>
      </c>
      <c r="V138" s="30">
        <v>0</v>
      </c>
      <c r="W138" s="30">
        <v>0</v>
      </c>
      <c r="X138" s="28"/>
      <c r="Y138" s="9"/>
      <c r="Z138" s="9"/>
      <c r="AA138" s="27"/>
      <c r="AB138" s="29"/>
      <c r="AC138" s="14" t="s">
        <v>35</v>
      </c>
      <c r="AD138" s="29"/>
      <c r="AE138" s="29"/>
      <c r="AF138" s="29"/>
      <c r="AG138" s="29"/>
      <c r="AH138" s="29"/>
      <c r="AI138" s="28"/>
      <c r="AJ138" s="3" t="s">
        <v>35</v>
      </c>
      <c r="AK138" s="3" t="s">
        <v>59</v>
      </c>
    </row>
    <row r="139" spans="2:37" hidden="1" x14ac:dyDescent="0.3">
      <c r="B139" s="13"/>
      <c r="C139" s="10">
        <v>26</v>
      </c>
      <c r="D139" s="10" t="s">
        <v>42</v>
      </c>
      <c r="E139" s="10"/>
      <c r="F139" s="10"/>
      <c r="G139" s="10"/>
      <c r="H139" s="10" t="s">
        <v>36</v>
      </c>
      <c r="I139" s="10" t="s">
        <v>130</v>
      </c>
      <c r="J139" s="10" t="s">
        <v>131</v>
      </c>
      <c r="K139" s="10" t="str">
        <f t="shared" si="5"/>
        <v>S1</v>
      </c>
      <c r="L139" s="26" t="s">
        <v>132</v>
      </c>
      <c r="M139" s="10" t="s">
        <v>92</v>
      </c>
      <c r="N139" s="10" t="s">
        <v>92</v>
      </c>
      <c r="O139" s="10" t="s">
        <v>945</v>
      </c>
      <c r="P139" s="13" t="s">
        <v>33</v>
      </c>
      <c r="Q139" s="10" t="s">
        <v>34</v>
      </c>
      <c r="R139" s="10"/>
      <c r="S139" s="10"/>
      <c r="T139" s="27"/>
      <c r="U139" s="30">
        <v>0</v>
      </c>
      <c r="V139" s="30">
        <v>0</v>
      </c>
      <c r="W139" s="30">
        <v>0</v>
      </c>
      <c r="X139" s="28"/>
      <c r="Y139" s="9"/>
      <c r="Z139" s="9"/>
      <c r="AA139" s="27"/>
      <c r="AB139" s="14" t="s">
        <v>35</v>
      </c>
      <c r="AC139" s="29"/>
      <c r="AD139" s="29"/>
      <c r="AE139" s="29"/>
      <c r="AF139" s="29"/>
      <c r="AG139" s="29"/>
      <c r="AH139" s="29"/>
      <c r="AI139" s="28"/>
      <c r="AJ139" s="3" t="s">
        <v>35</v>
      </c>
      <c r="AK139" s="3" t="s">
        <v>59</v>
      </c>
    </row>
    <row r="140" spans="2:37" hidden="1" x14ac:dyDescent="0.3">
      <c r="B140" s="13"/>
      <c r="C140" s="10">
        <v>27</v>
      </c>
      <c r="D140" s="10" t="s">
        <v>42</v>
      </c>
      <c r="E140" s="10"/>
      <c r="F140" s="10"/>
      <c r="G140" s="10"/>
      <c r="H140" s="10" t="s">
        <v>36</v>
      </c>
      <c r="I140" s="10" t="s">
        <v>133</v>
      </c>
      <c r="J140" s="10" t="s">
        <v>134</v>
      </c>
      <c r="K140" s="10" t="str">
        <f t="shared" si="5"/>
        <v>S1</v>
      </c>
      <c r="L140" s="26" t="s">
        <v>135</v>
      </c>
      <c r="M140" s="10" t="s">
        <v>92</v>
      </c>
      <c r="N140" s="10" t="s">
        <v>92</v>
      </c>
      <c r="O140" s="10" t="s">
        <v>944</v>
      </c>
      <c r="P140" s="13" t="s">
        <v>33</v>
      </c>
      <c r="Q140" s="10" t="s">
        <v>34</v>
      </c>
      <c r="R140" s="10"/>
      <c r="S140" s="10"/>
      <c r="T140" s="27"/>
      <c r="U140" s="30">
        <v>0</v>
      </c>
      <c r="V140" s="30">
        <v>0</v>
      </c>
      <c r="W140" s="30">
        <v>0</v>
      </c>
      <c r="X140" s="28"/>
      <c r="Y140" s="9"/>
      <c r="Z140" s="9"/>
      <c r="AA140" s="27"/>
      <c r="AB140" s="29"/>
      <c r="AC140" s="14" t="s">
        <v>35</v>
      </c>
      <c r="AD140" s="29"/>
      <c r="AE140" s="29"/>
      <c r="AF140" s="29"/>
      <c r="AG140" s="29"/>
      <c r="AH140" s="29"/>
      <c r="AI140" s="28"/>
      <c r="AJ140" s="3" t="s">
        <v>35</v>
      </c>
      <c r="AK140" s="3" t="s">
        <v>59</v>
      </c>
    </row>
    <row r="141" spans="2:37" hidden="1" x14ac:dyDescent="0.3">
      <c r="B141" s="13"/>
      <c r="C141" s="10">
        <v>252</v>
      </c>
      <c r="D141" s="10" t="s">
        <v>42</v>
      </c>
      <c r="E141" s="10"/>
      <c r="F141" s="10"/>
      <c r="G141" s="10"/>
      <c r="H141" s="10" t="s">
        <v>807</v>
      </c>
      <c r="I141" s="10" t="s">
        <v>847</v>
      </c>
      <c r="J141" s="10" t="s">
        <v>848</v>
      </c>
      <c r="K141" s="10" t="str">
        <f t="shared" si="5"/>
        <v>S6</v>
      </c>
      <c r="L141" s="26" t="s">
        <v>849</v>
      </c>
      <c r="M141" s="10" t="s">
        <v>92</v>
      </c>
      <c r="N141" s="10" t="s">
        <v>92</v>
      </c>
      <c r="O141" s="10" t="s">
        <v>945</v>
      </c>
      <c r="P141" s="13" t="s">
        <v>33</v>
      </c>
      <c r="Q141" s="10" t="s">
        <v>34</v>
      </c>
      <c r="R141" s="10"/>
      <c r="S141" s="10" t="s">
        <v>533</v>
      </c>
      <c r="T141" s="27"/>
      <c r="U141" s="30">
        <v>0</v>
      </c>
      <c r="V141" s="30">
        <v>0</v>
      </c>
      <c r="W141" s="30">
        <v>0</v>
      </c>
      <c r="X141" s="28"/>
      <c r="Y141" s="9"/>
      <c r="Z141" s="9"/>
      <c r="AA141" s="27"/>
      <c r="AB141" s="14" t="s">
        <v>35</v>
      </c>
      <c r="AC141" s="29"/>
      <c r="AD141" s="29"/>
      <c r="AE141" s="29"/>
      <c r="AF141" s="29"/>
      <c r="AG141" s="29"/>
      <c r="AH141" s="29"/>
      <c r="AI141" s="28"/>
      <c r="AJ141" s="3" t="s">
        <v>35</v>
      </c>
      <c r="AK141" s="3" t="s">
        <v>59</v>
      </c>
    </row>
    <row r="142" spans="2:37" hidden="1" x14ac:dyDescent="0.3">
      <c r="B142" s="13"/>
      <c r="C142" s="10">
        <v>253</v>
      </c>
      <c r="D142" s="10" t="s">
        <v>42</v>
      </c>
      <c r="E142" s="10"/>
      <c r="F142" s="10"/>
      <c r="G142" s="10"/>
      <c r="H142" s="10" t="s">
        <v>807</v>
      </c>
      <c r="I142" s="10" t="s">
        <v>850</v>
      </c>
      <c r="J142" s="10" t="s">
        <v>851</v>
      </c>
      <c r="K142" s="10" t="str">
        <f t="shared" si="5"/>
        <v>S6</v>
      </c>
      <c r="L142" s="26" t="s">
        <v>852</v>
      </c>
      <c r="M142" s="10" t="s">
        <v>92</v>
      </c>
      <c r="N142" s="10" t="s">
        <v>92</v>
      </c>
      <c r="O142" s="10" t="s">
        <v>944</v>
      </c>
      <c r="P142" s="13" t="s">
        <v>33</v>
      </c>
      <c r="Q142" s="10" t="s">
        <v>34</v>
      </c>
      <c r="R142" s="10"/>
      <c r="S142" s="10" t="s">
        <v>696</v>
      </c>
      <c r="T142" s="27"/>
      <c r="U142" s="30">
        <v>0</v>
      </c>
      <c r="V142" s="30">
        <v>0</v>
      </c>
      <c r="W142" s="30">
        <v>0</v>
      </c>
      <c r="X142" s="28"/>
      <c r="Y142" s="9"/>
      <c r="Z142" s="9"/>
      <c r="AA142" s="27"/>
      <c r="AB142" s="29"/>
      <c r="AC142" s="14" t="s">
        <v>35</v>
      </c>
      <c r="AD142" s="29"/>
      <c r="AE142" s="29"/>
      <c r="AF142" s="29"/>
      <c r="AG142" s="29"/>
      <c r="AH142" s="29"/>
      <c r="AI142" s="28"/>
      <c r="AJ142" s="3" t="s">
        <v>42</v>
      </c>
    </row>
    <row r="143" spans="2:37" hidden="1" x14ac:dyDescent="0.3">
      <c r="B143" s="13"/>
      <c r="C143" s="10">
        <v>28</v>
      </c>
      <c r="D143" s="10" t="s">
        <v>42</v>
      </c>
      <c r="E143" s="10" t="s">
        <v>1042</v>
      </c>
      <c r="F143" s="10"/>
      <c r="G143" s="10"/>
      <c r="H143" s="10" t="s">
        <v>119</v>
      </c>
      <c r="I143" s="10" t="s">
        <v>136</v>
      </c>
      <c r="J143" s="10" t="s">
        <v>137</v>
      </c>
      <c r="K143" s="10" t="str">
        <f t="shared" si="5"/>
        <v>S1</v>
      </c>
      <c r="L143" s="26" t="s">
        <v>138</v>
      </c>
      <c r="M143" s="10" t="s">
        <v>92</v>
      </c>
      <c r="N143" s="10" t="s">
        <v>92</v>
      </c>
      <c r="O143" s="10" t="s">
        <v>954</v>
      </c>
      <c r="P143" s="13" t="s">
        <v>33</v>
      </c>
      <c r="Q143" s="10" t="s">
        <v>34</v>
      </c>
      <c r="R143" s="10"/>
      <c r="S143" s="10"/>
      <c r="T143" s="27"/>
      <c r="U143" s="30">
        <v>0</v>
      </c>
      <c r="V143" s="30">
        <v>151.70568561872909</v>
      </c>
      <c r="W143" s="30">
        <v>0</v>
      </c>
      <c r="X143" s="28"/>
      <c r="Y143" s="9"/>
      <c r="Z143" s="9"/>
      <c r="AA143" s="27"/>
      <c r="AB143" s="29"/>
      <c r="AC143" s="29"/>
      <c r="AD143" s="29"/>
      <c r="AE143" s="14" t="s">
        <v>35</v>
      </c>
      <c r="AF143" s="14" t="s">
        <v>35</v>
      </c>
      <c r="AG143" s="29"/>
      <c r="AH143" s="29"/>
      <c r="AI143" s="28"/>
      <c r="AJ143" s="3" t="s">
        <v>42</v>
      </c>
    </row>
    <row r="144" spans="2:37" hidden="1" x14ac:dyDescent="0.3">
      <c r="B144" s="13"/>
      <c r="C144" s="10">
        <v>213</v>
      </c>
      <c r="D144" s="10" t="s">
        <v>42</v>
      </c>
      <c r="E144" s="10"/>
      <c r="F144" s="10"/>
      <c r="G144" s="10"/>
      <c r="H144" s="10" t="s">
        <v>109</v>
      </c>
      <c r="I144" s="51" t="s">
        <v>721</v>
      </c>
      <c r="J144" s="10" t="s">
        <v>722</v>
      </c>
      <c r="K144" s="10" t="str">
        <f t="shared" si="5"/>
        <v>S3</v>
      </c>
      <c r="L144" s="26" t="s">
        <v>138</v>
      </c>
      <c r="M144" s="10" t="s">
        <v>92</v>
      </c>
      <c r="N144" s="10" t="s">
        <v>92</v>
      </c>
      <c r="O144" s="10" t="s">
        <v>954</v>
      </c>
      <c r="P144" s="13" t="s">
        <v>33</v>
      </c>
      <c r="Q144" s="10" t="s">
        <v>34</v>
      </c>
      <c r="R144" s="10"/>
      <c r="S144" s="10"/>
      <c r="T144" s="27"/>
      <c r="U144" s="30">
        <v>0</v>
      </c>
      <c r="V144" s="30">
        <v>3.9062084111873658</v>
      </c>
      <c r="W144" s="30">
        <v>0</v>
      </c>
      <c r="X144" s="28"/>
      <c r="Y144" s="9"/>
      <c r="Z144" s="9"/>
      <c r="AA144" s="27"/>
      <c r="AB144" s="29"/>
      <c r="AC144" s="29"/>
      <c r="AD144" s="29"/>
      <c r="AE144" s="14" t="s">
        <v>35</v>
      </c>
      <c r="AF144" s="14" t="s">
        <v>35</v>
      </c>
      <c r="AG144" s="29"/>
      <c r="AH144" s="29"/>
      <c r="AI144" s="28"/>
      <c r="AJ144" s="3" t="s">
        <v>42</v>
      </c>
    </row>
    <row r="145" spans="2:37" hidden="1" x14ac:dyDescent="0.3">
      <c r="B145" s="13"/>
      <c r="C145" s="10">
        <v>29</v>
      </c>
      <c r="D145" s="10" t="s">
        <v>42</v>
      </c>
      <c r="E145" s="10" t="s">
        <v>1042</v>
      </c>
      <c r="F145" s="10"/>
      <c r="G145" s="10"/>
      <c r="H145" s="10" t="s">
        <v>36</v>
      </c>
      <c r="I145" s="10" t="s">
        <v>139</v>
      </c>
      <c r="J145" s="10" t="s">
        <v>140</v>
      </c>
      <c r="K145" s="10" t="str">
        <f t="shared" si="5"/>
        <v>S1</v>
      </c>
      <c r="L145" s="26" t="s">
        <v>141</v>
      </c>
      <c r="M145" s="10" t="s">
        <v>92</v>
      </c>
      <c r="N145" s="10" t="s">
        <v>92</v>
      </c>
      <c r="O145" s="10" t="s">
        <v>954</v>
      </c>
      <c r="P145" s="13" t="s">
        <v>33</v>
      </c>
      <c r="Q145" s="10" t="s">
        <v>34</v>
      </c>
      <c r="R145" s="10"/>
      <c r="S145" s="10"/>
      <c r="T145" s="27"/>
      <c r="U145" s="30">
        <v>0</v>
      </c>
      <c r="V145" s="30">
        <v>75.852842809364546</v>
      </c>
      <c r="W145" s="30">
        <v>0</v>
      </c>
      <c r="X145" s="28"/>
      <c r="Y145" s="9"/>
      <c r="Z145" s="9"/>
      <c r="AA145" s="27"/>
      <c r="AB145" s="29"/>
      <c r="AC145" s="29"/>
      <c r="AD145" s="29"/>
      <c r="AE145" s="14" t="s">
        <v>35</v>
      </c>
      <c r="AF145" s="14" t="s">
        <v>35</v>
      </c>
      <c r="AG145" s="29"/>
      <c r="AH145" s="29"/>
      <c r="AI145" s="28"/>
      <c r="AJ145" s="3" t="s">
        <v>42</v>
      </c>
      <c r="AK145" s="3" t="s">
        <v>515</v>
      </c>
    </row>
    <row r="146" spans="2:37" hidden="1" x14ac:dyDescent="0.3">
      <c r="B146" s="13"/>
      <c r="C146" s="13">
        <v>254</v>
      </c>
      <c r="D146" s="10" t="s">
        <v>42</v>
      </c>
      <c r="E146" s="10"/>
      <c r="F146" s="10"/>
      <c r="G146" s="10"/>
      <c r="H146" s="10" t="s">
        <v>807</v>
      </c>
      <c r="I146" s="10" t="s">
        <v>853</v>
      </c>
      <c r="J146" s="10" t="s">
        <v>854</v>
      </c>
      <c r="K146" s="10" t="str">
        <f t="shared" si="5"/>
        <v>S6</v>
      </c>
      <c r="L146" s="26" t="s">
        <v>855</v>
      </c>
      <c r="M146" s="10" t="s">
        <v>92</v>
      </c>
      <c r="N146" s="10" t="s">
        <v>92</v>
      </c>
      <c r="O146" s="10" t="s">
        <v>954</v>
      </c>
      <c r="P146" s="13" t="s">
        <v>33</v>
      </c>
      <c r="Q146" s="10" t="s">
        <v>34</v>
      </c>
      <c r="R146" s="10"/>
      <c r="S146" s="10"/>
      <c r="T146" s="27"/>
      <c r="U146" s="30">
        <v>0</v>
      </c>
      <c r="V146" s="30">
        <v>0</v>
      </c>
      <c r="W146" s="30">
        <v>0</v>
      </c>
      <c r="X146" s="28"/>
      <c r="Y146" s="9"/>
      <c r="Z146" s="9"/>
      <c r="AA146" s="27"/>
      <c r="AB146" s="29"/>
      <c r="AC146" s="29"/>
      <c r="AD146" s="29"/>
      <c r="AE146" s="14" t="s">
        <v>35</v>
      </c>
      <c r="AF146" s="29"/>
      <c r="AG146" s="29"/>
      <c r="AH146" s="29"/>
      <c r="AI146" s="28"/>
      <c r="AJ146" s="3" t="s">
        <v>42</v>
      </c>
    </row>
    <row r="147" spans="2:37" hidden="1" x14ac:dyDescent="0.3">
      <c r="B147" s="53"/>
      <c r="C147" s="33">
        <v>255</v>
      </c>
      <c r="D147" s="33" t="s">
        <v>42</v>
      </c>
      <c r="E147" s="33"/>
      <c r="F147" s="33"/>
      <c r="G147" s="33"/>
      <c r="H147" s="33" t="s">
        <v>807</v>
      </c>
      <c r="I147" s="33" t="s">
        <v>856</v>
      </c>
      <c r="J147" s="33" t="s">
        <v>857</v>
      </c>
      <c r="K147" s="33" t="str">
        <f t="shared" si="5"/>
        <v>S6</v>
      </c>
      <c r="L147" s="54" t="s">
        <v>858</v>
      </c>
      <c r="M147" s="33" t="s">
        <v>92</v>
      </c>
      <c r="N147" s="33" t="s">
        <v>92</v>
      </c>
      <c r="O147" s="33" t="s">
        <v>58</v>
      </c>
      <c r="P147" s="53" t="s">
        <v>33</v>
      </c>
      <c r="Q147" s="33" t="s">
        <v>34</v>
      </c>
      <c r="R147" s="33"/>
      <c r="S147" s="33" t="s">
        <v>938</v>
      </c>
      <c r="T147" s="27"/>
      <c r="U147" s="30">
        <v>0</v>
      </c>
      <c r="V147" s="30">
        <v>0</v>
      </c>
      <c r="W147" s="30">
        <v>0</v>
      </c>
      <c r="X147" s="28"/>
      <c r="Y147" s="9"/>
      <c r="Z147" s="9"/>
      <c r="AA147" s="27"/>
      <c r="AB147" s="29"/>
      <c r="AC147" s="29"/>
      <c r="AD147" s="29"/>
      <c r="AE147" s="29"/>
      <c r="AF147" s="29"/>
      <c r="AG147" s="29"/>
      <c r="AH147" s="29"/>
      <c r="AI147" s="28"/>
      <c r="AJ147" s="3" t="s">
        <v>42</v>
      </c>
    </row>
    <row r="148" spans="2:37" hidden="1" x14ac:dyDescent="0.3">
      <c r="B148" s="53"/>
      <c r="C148" s="33">
        <v>148</v>
      </c>
      <c r="D148" s="33" t="s">
        <v>1039</v>
      </c>
      <c r="E148" s="33"/>
      <c r="F148" s="33"/>
      <c r="G148" s="33"/>
      <c r="H148" s="33" t="s">
        <v>119</v>
      </c>
      <c r="I148" s="33" t="s">
        <v>538</v>
      </c>
      <c r="J148" s="33" t="s">
        <v>539</v>
      </c>
      <c r="K148" s="33" t="str">
        <f t="shared" si="5"/>
        <v>S2</v>
      </c>
      <c r="L148" s="54" t="s">
        <v>540</v>
      </c>
      <c r="M148" s="33" t="s">
        <v>92</v>
      </c>
      <c r="N148" s="33" t="s">
        <v>92</v>
      </c>
      <c r="O148" s="33" t="s">
        <v>58</v>
      </c>
      <c r="P148" s="53" t="s">
        <v>33</v>
      </c>
      <c r="Q148" s="33" t="s">
        <v>34</v>
      </c>
      <c r="R148" s="33"/>
      <c r="S148" s="33" t="s">
        <v>938</v>
      </c>
      <c r="T148" s="27"/>
      <c r="U148" s="30">
        <v>0</v>
      </c>
      <c r="V148" s="30">
        <v>0</v>
      </c>
      <c r="W148" s="30">
        <v>0</v>
      </c>
      <c r="X148" s="28"/>
      <c r="Y148" s="9"/>
      <c r="Z148" s="9"/>
      <c r="AA148" s="27"/>
      <c r="AB148" s="29"/>
      <c r="AC148" s="29"/>
      <c r="AD148" s="29"/>
      <c r="AE148" s="29"/>
      <c r="AF148" s="29"/>
      <c r="AG148" s="29"/>
      <c r="AH148" s="29"/>
      <c r="AI148" s="28"/>
      <c r="AJ148" s="3" t="s">
        <v>42</v>
      </c>
    </row>
    <row r="149" spans="2:37" ht="32.4" hidden="1" customHeight="1" x14ac:dyDescent="0.3">
      <c r="B149" s="13"/>
      <c r="C149" s="10">
        <v>149</v>
      </c>
      <c r="D149" s="78" t="s">
        <v>1042</v>
      </c>
      <c r="E149" s="10"/>
      <c r="F149" s="10"/>
      <c r="G149" s="10"/>
      <c r="H149" s="10" t="s">
        <v>109</v>
      </c>
      <c r="I149" s="51" t="s">
        <v>541</v>
      </c>
      <c r="J149" s="10" t="s">
        <v>542</v>
      </c>
      <c r="K149" s="10" t="str">
        <f t="shared" si="5"/>
        <v>S2</v>
      </c>
      <c r="L149" s="26" t="s">
        <v>543</v>
      </c>
      <c r="M149" s="10" t="s">
        <v>92</v>
      </c>
      <c r="N149" s="10" t="s">
        <v>92</v>
      </c>
      <c r="O149" s="10" t="s">
        <v>970</v>
      </c>
      <c r="P149" s="13" t="s">
        <v>33</v>
      </c>
      <c r="Q149" s="10" t="s">
        <v>34</v>
      </c>
      <c r="R149" s="10"/>
      <c r="S149" s="10" t="s">
        <v>544</v>
      </c>
      <c r="T149" s="27"/>
      <c r="U149" s="30">
        <v>0</v>
      </c>
      <c r="V149" s="30">
        <v>4.1421538856886153</v>
      </c>
      <c r="W149" s="30">
        <v>0</v>
      </c>
      <c r="X149" s="28"/>
      <c r="Y149" s="9"/>
      <c r="Z149" s="9"/>
      <c r="AA149" s="27"/>
      <c r="AB149" s="14" t="s">
        <v>35</v>
      </c>
      <c r="AC149" s="14" t="s">
        <v>35</v>
      </c>
      <c r="AD149" s="29"/>
      <c r="AE149" s="14" t="s">
        <v>35</v>
      </c>
      <c r="AF149" s="29"/>
      <c r="AG149" s="29"/>
      <c r="AH149" s="29"/>
      <c r="AI149" s="28"/>
      <c r="AJ149" s="3" t="s">
        <v>42</v>
      </c>
    </row>
    <row r="150" spans="2:37" ht="37.799999999999997" customHeight="1" x14ac:dyDescent="0.3">
      <c r="B150" s="13"/>
      <c r="C150" s="10">
        <v>30</v>
      </c>
      <c r="D150" s="76" t="s">
        <v>1043</v>
      </c>
      <c r="E150" s="10"/>
      <c r="F150" s="10"/>
      <c r="G150" s="10"/>
      <c r="H150" s="10" t="s">
        <v>119</v>
      </c>
      <c r="I150" s="10" t="s">
        <v>142</v>
      </c>
      <c r="J150" s="10" t="s">
        <v>143</v>
      </c>
      <c r="K150" s="10" t="str">
        <f t="shared" si="5"/>
        <v>S1</v>
      </c>
      <c r="L150" s="26" t="s">
        <v>144</v>
      </c>
      <c r="M150" s="10" t="s">
        <v>92</v>
      </c>
      <c r="N150" s="10" t="s">
        <v>92</v>
      </c>
      <c r="O150" s="10" t="s">
        <v>952</v>
      </c>
      <c r="P150" s="13" t="s">
        <v>985</v>
      </c>
      <c r="Q150" s="10" t="s">
        <v>34</v>
      </c>
      <c r="R150" s="10"/>
      <c r="S150" s="10"/>
      <c r="T150" s="27"/>
      <c r="U150" s="30">
        <v>179.53383190883193</v>
      </c>
      <c r="V150" s="30">
        <v>0</v>
      </c>
      <c r="W150" s="30">
        <v>0</v>
      </c>
      <c r="X150" s="28"/>
      <c r="Y150" s="9"/>
      <c r="Z150" s="9"/>
      <c r="AA150" s="27"/>
      <c r="AB150" s="14" t="s">
        <v>35</v>
      </c>
      <c r="AC150" s="14" t="s">
        <v>35</v>
      </c>
      <c r="AD150" s="14" t="s">
        <v>35</v>
      </c>
      <c r="AE150" s="29"/>
      <c r="AF150" s="29"/>
      <c r="AG150" s="29"/>
      <c r="AH150" s="29"/>
      <c r="AI150" s="28"/>
      <c r="AJ150" s="3" t="s">
        <v>42</v>
      </c>
    </row>
    <row r="151" spans="2:37" hidden="1" x14ac:dyDescent="0.3">
      <c r="B151" s="53"/>
      <c r="C151" s="33">
        <v>31</v>
      </c>
      <c r="D151" s="33" t="s">
        <v>1039</v>
      </c>
      <c r="E151" s="33"/>
      <c r="F151" s="33"/>
      <c r="G151" s="33"/>
      <c r="H151" s="33" t="s">
        <v>119</v>
      </c>
      <c r="I151" s="33" t="s">
        <v>145</v>
      </c>
      <c r="J151" s="33" t="s">
        <v>146</v>
      </c>
      <c r="K151" s="33" t="str">
        <f t="shared" si="5"/>
        <v>S1</v>
      </c>
      <c r="L151" s="54" t="s">
        <v>147</v>
      </c>
      <c r="M151" s="33" t="s">
        <v>92</v>
      </c>
      <c r="N151" s="33" t="s">
        <v>92</v>
      </c>
      <c r="O151" s="33" t="s">
        <v>58</v>
      </c>
      <c r="P151" s="53" t="s">
        <v>213</v>
      </c>
      <c r="Q151" s="33" t="s">
        <v>34</v>
      </c>
      <c r="R151" s="33"/>
      <c r="S151" s="33" t="s">
        <v>938</v>
      </c>
      <c r="T151" s="27"/>
      <c r="U151" s="30">
        <v>0</v>
      </c>
      <c r="V151" s="30">
        <v>0</v>
      </c>
      <c r="W151" s="30">
        <v>0</v>
      </c>
      <c r="X151" s="28"/>
      <c r="Y151" s="9"/>
      <c r="Z151" s="9"/>
      <c r="AA151" s="27"/>
      <c r="AB151" s="29"/>
      <c r="AC151" s="29"/>
      <c r="AD151" s="29"/>
      <c r="AE151" s="29"/>
      <c r="AF151" s="29"/>
      <c r="AG151" s="29"/>
      <c r="AH151" s="29"/>
      <c r="AI151" s="28"/>
      <c r="AJ151" s="3" t="s">
        <v>42</v>
      </c>
    </row>
    <row r="152" spans="2:37" hidden="1" x14ac:dyDescent="0.3">
      <c r="B152" s="13"/>
      <c r="C152" s="10">
        <v>141</v>
      </c>
      <c r="D152" s="10" t="s">
        <v>1038</v>
      </c>
      <c r="E152" s="10"/>
      <c r="F152" s="10"/>
      <c r="G152" s="10"/>
      <c r="H152" s="10" t="s">
        <v>119</v>
      </c>
      <c r="I152" s="51" t="s">
        <v>511</v>
      </c>
      <c r="J152" s="10" t="s">
        <v>512</v>
      </c>
      <c r="K152" s="10" t="str">
        <f t="shared" si="5"/>
        <v>S2</v>
      </c>
      <c r="L152" s="26" t="s">
        <v>513</v>
      </c>
      <c r="M152" s="10" t="s">
        <v>943</v>
      </c>
      <c r="N152" s="10" t="s">
        <v>943</v>
      </c>
      <c r="O152" s="10" t="s">
        <v>944</v>
      </c>
      <c r="P152" s="13" t="s">
        <v>33</v>
      </c>
      <c r="Q152" s="10" t="s">
        <v>34</v>
      </c>
      <c r="R152" s="10"/>
      <c r="S152" s="10" t="s">
        <v>514</v>
      </c>
      <c r="T152" s="27"/>
      <c r="U152" s="30">
        <v>0</v>
      </c>
      <c r="V152" s="30">
        <v>0</v>
      </c>
      <c r="W152" s="30">
        <v>0</v>
      </c>
      <c r="X152" s="28"/>
      <c r="Y152" s="9"/>
      <c r="Z152" s="9"/>
      <c r="AA152" s="27"/>
      <c r="AB152" s="29"/>
      <c r="AC152" s="14" t="s">
        <v>35</v>
      </c>
      <c r="AD152" s="29"/>
      <c r="AE152" s="29"/>
      <c r="AF152" s="29"/>
      <c r="AG152" s="29"/>
      <c r="AH152" s="29"/>
      <c r="AI152" s="28"/>
      <c r="AJ152" s="3" t="s">
        <v>42</v>
      </c>
    </row>
    <row r="153" spans="2:37" ht="28.2" hidden="1" customHeight="1" x14ac:dyDescent="0.3">
      <c r="B153" s="13"/>
      <c r="C153" s="10">
        <v>23</v>
      </c>
      <c r="D153" s="10" t="s">
        <v>42</v>
      </c>
      <c r="E153" s="10"/>
      <c r="F153" s="10"/>
      <c r="G153" s="10"/>
      <c r="H153" s="10" t="s">
        <v>119</v>
      </c>
      <c r="I153" s="10" t="s">
        <v>120</v>
      </c>
      <c r="J153" s="10" t="s">
        <v>121</v>
      </c>
      <c r="K153" s="10" t="str">
        <f t="shared" si="5"/>
        <v>S1</v>
      </c>
      <c r="L153" s="26" t="s">
        <v>122</v>
      </c>
      <c r="M153" s="10" t="s">
        <v>943</v>
      </c>
      <c r="N153" s="10" t="s">
        <v>943</v>
      </c>
      <c r="O153" s="10" t="s">
        <v>953</v>
      </c>
      <c r="P153" s="13" t="s">
        <v>33</v>
      </c>
      <c r="Q153" s="10" t="s">
        <v>34</v>
      </c>
      <c r="R153" s="10"/>
      <c r="S153" s="10"/>
      <c r="T153" s="27"/>
      <c r="U153" s="30">
        <v>0</v>
      </c>
      <c r="V153" s="30">
        <v>0</v>
      </c>
      <c r="W153" s="30">
        <v>0</v>
      </c>
      <c r="X153" s="28"/>
      <c r="Y153" s="9"/>
      <c r="Z153" s="9"/>
      <c r="AA153" s="27"/>
      <c r="AB153" s="14" t="s">
        <v>35</v>
      </c>
      <c r="AC153" s="14" t="s">
        <v>35</v>
      </c>
      <c r="AD153" s="29"/>
      <c r="AE153" s="29"/>
      <c r="AF153" s="29"/>
      <c r="AG153" s="29"/>
      <c r="AH153" s="29"/>
      <c r="AI153" s="28"/>
      <c r="AJ153" s="3" t="s">
        <v>42</v>
      </c>
    </row>
    <row r="154" spans="2:37" hidden="1" x14ac:dyDescent="0.3">
      <c r="B154" s="13"/>
      <c r="C154" s="10">
        <v>143</v>
      </c>
      <c r="D154" s="10" t="s">
        <v>1038</v>
      </c>
      <c r="E154" s="10"/>
      <c r="F154" s="10"/>
      <c r="G154" s="10"/>
      <c r="H154" s="10" t="s">
        <v>119</v>
      </c>
      <c r="I154" s="51" t="s">
        <v>520</v>
      </c>
      <c r="J154" s="10" t="s">
        <v>521</v>
      </c>
      <c r="K154" s="10" t="str">
        <f t="shared" si="5"/>
        <v>S2</v>
      </c>
      <c r="L154" s="26" t="s">
        <v>522</v>
      </c>
      <c r="M154" s="10" t="s">
        <v>943</v>
      </c>
      <c r="N154" s="10" t="s">
        <v>943</v>
      </c>
      <c r="O154" s="10" t="s">
        <v>953</v>
      </c>
      <c r="P154" s="13" t="s">
        <v>33</v>
      </c>
      <c r="Q154" s="10" t="s">
        <v>34</v>
      </c>
      <c r="R154" s="10"/>
      <c r="S154" s="10" t="s">
        <v>523</v>
      </c>
      <c r="T154" s="27"/>
      <c r="U154" s="30">
        <v>0</v>
      </c>
      <c r="V154" s="30">
        <v>0</v>
      </c>
      <c r="W154" s="30">
        <v>0</v>
      </c>
      <c r="X154" s="28"/>
      <c r="Y154" s="9"/>
      <c r="Z154" s="9"/>
      <c r="AA154" s="27"/>
      <c r="AB154" s="14" t="s">
        <v>35</v>
      </c>
      <c r="AC154" s="14" t="s">
        <v>35</v>
      </c>
      <c r="AD154" s="29"/>
      <c r="AE154" s="29"/>
      <c r="AF154" s="29"/>
      <c r="AG154" s="29"/>
      <c r="AH154" s="29"/>
      <c r="AI154" s="28"/>
      <c r="AJ154" s="3" t="s">
        <v>42</v>
      </c>
      <c r="AK154" s="3" t="s">
        <v>43</v>
      </c>
    </row>
    <row r="155" spans="2:37" hidden="1" x14ac:dyDescent="0.3">
      <c r="B155" s="13"/>
      <c r="C155" s="10">
        <v>144</v>
      </c>
      <c r="D155" s="10" t="s">
        <v>1038</v>
      </c>
      <c r="E155" s="10"/>
      <c r="F155" s="10"/>
      <c r="G155" s="10"/>
      <c r="H155" s="10" t="s">
        <v>119</v>
      </c>
      <c r="I155" s="51" t="s">
        <v>524</v>
      </c>
      <c r="J155" s="10" t="s">
        <v>525</v>
      </c>
      <c r="K155" s="10" t="str">
        <f t="shared" si="5"/>
        <v>S2</v>
      </c>
      <c r="L155" s="26" t="s">
        <v>526</v>
      </c>
      <c r="M155" s="10" t="s">
        <v>943</v>
      </c>
      <c r="N155" s="10" t="s">
        <v>943</v>
      </c>
      <c r="O155" s="10" t="s">
        <v>944</v>
      </c>
      <c r="P155" s="13" t="s">
        <v>33</v>
      </c>
      <c r="Q155" s="10" t="s">
        <v>34</v>
      </c>
      <c r="R155" s="10"/>
      <c r="S155" s="10" t="s">
        <v>523</v>
      </c>
      <c r="T155" s="27"/>
      <c r="U155" s="30">
        <v>0</v>
      </c>
      <c r="V155" s="30">
        <v>0</v>
      </c>
      <c r="W155" s="30">
        <v>0</v>
      </c>
      <c r="X155" s="28"/>
      <c r="Y155" s="9"/>
      <c r="Z155" s="9"/>
      <c r="AA155" s="27"/>
      <c r="AB155" s="29"/>
      <c r="AC155" s="14" t="s">
        <v>35</v>
      </c>
      <c r="AD155" s="29"/>
      <c r="AE155" s="29"/>
      <c r="AF155" s="29"/>
      <c r="AG155" s="29"/>
      <c r="AH155" s="29"/>
      <c r="AI155" s="28"/>
      <c r="AJ155" s="3" t="s">
        <v>42</v>
      </c>
      <c r="AK155" s="3" t="s">
        <v>43</v>
      </c>
    </row>
    <row r="156" spans="2:37" hidden="1" x14ac:dyDescent="0.3">
      <c r="B156" s="13"/>
      <c r="C156" s="10">
        <v>145</v>
      </c>
      <c r="D156" s="10" t="s">
        <v>1038</v>
      </c>
      <c r="E156" s="10"/>
      <c r="F156" s="10"/>
      <c r="G156" s="10"/>
      <c r="H156" s="10" t="s">
        <v>119</v>
      </c>
      <c r="I156" s="51" t="s">
        <v>527</v>
      </c>
      <c r="J156" s="10" t="s">
        <v>528</v>
      </c>
      <c r="K156" s="10" t="str">
        <f t="shared" si="5"/>
        <v>S2</v>
      </c>
      <c r="L156" s="26" t="s">
        <v>529</v>
      </c>
      <c r="M156" s="10" t="s">
        <v>943</v>
      </c>
      <c r="N156" s="10" t="s">
        <v>943</v>
      </c>
      <c r="O156" s="10" t="s">
        <v>953</v>
      </c>
      <c r="P156" s="13" t="s">
        <v>33</v>
      </c>
      <c r="Q156" s="10" t="s">
        <v>34</v>
      </c>
      <c r="R156" s="10"/>
      <c r="S156" s="10" t="s">
        <v>349</v>
      </c>
      <c r="T156" s="27"/>
      <c r="U156" s="30">
        <v>0</v>
      </c>
      <c r="V156" s="30">
        <v>0</v>
      </c>
      <c r="W156" s="30">
        <v>0</v>
      </c>
      <c r="X156" s="28"/>
      <c r="Y156" s="9"/>
      <c r="Z156" s="9"/>
      <c r="AA156" s="27"/>
      <c r="AB156" s="14" t="s">
        <v>35</v>
      </c>
      <c r="AC156" s="14" t="s">
        <v>35</v>
      </c>
      <c r="AD156" s="29"/>
      <c r="AE156" s="29"/>
      <c r="AF156" s="29"/>
      <c r="AG156" s="29"/>
      <c r="AH156" s="29"/>
      <c r="AI156" s="28"/>
      <c r="AJ156" s="3" t="s">
        <v>42</v>
      </c>
      <c r="AK156" s="3" t="s">
        <v>43</v>
      </c>
    </row>
    <row r="157" spans="2:37" hidden="1" x14ac:dyDescent="0.3">
      <c r="B157" s="13"/>
      <c r="C157" s="10">
        <v>239</v>
      </c>
      <c r="D157" s="75" t="s">
        <v>1036</v>
      </c>
      <c r="E157" s="10" t="s">
        <v>1047</v>
      </c>
      <c r="F157" s="10"/>
      <c r="G157" s="10"/>
      <c r="H157" s="10" t="s">
        <v>36</v>
      </c>
      <c r="I157" s="51" t="s">
        <v>808</v>
      </c>
      <c r="J157" s="10" t="s">
        <v>809</v>
      </c>
      <c r="K157" s="10" t="str">
        <f t="shared" si="5"/>
        <v>S6</v>
      </c>
      <c r="L157" s="26" t="s">
        <v>810</v>
      </c>
      <c r="M157" s="10" t="s">
        <v>691</v>
      </c>
      <c r="N157" s="10" t="s">
        <v>691</v>
      </c>
      <c r="O157" s="10" t="s">
        <v>948</v>
      </c>
      <c r="P157" s="13" t="s">
        <v>33</v>
      </c>
      <c r="Q157" s="10" t="s">
        <v>34</v>
      </c>
      <c r="R157" s="10"/>
      <c r="S157" s="10" t="s">
        <v>812</v>
      </c>
      <c r="T157" s="27" t="s">
        <v>813</v>
      </c>
      <c r="U157" s="30">
        <v>52.478988603988604</v>
      </c>
      <c r="V157" s="30">
        <v>0</v>
      </c>
      <c r="W157" s="30">
        <v>0</v>
      </c>
      <c r="X157" s="28"/>
      <c r="Y157" s="9"/>
      <c r="Z157" s="9"/>
      <c r="AA157" s="27"/>
      <c r="AB157" s="29"/>
      <c r="AC157" s="14" t="s">
        <v>35</v>
      </c>
      <c r="AD157" s="14" t="s">
        <v>35</v>
      </c>
      <c r="AE157" s="29"/>
      <c r="AF157" s="29"/>
      <c r="AG157" s="29"/>
      <c r="AH157" s="29"/>
      <c r="AI157" s="28"/>
      <c r="AJ157" s="3" t="s">
        <v>42</v>
      </c>
      <c r="AK157" s="3" t="s">
        <v>43</v>
      </c>
    </row>
    <row r="158" spans="2:37" hidden="1" x14ac:dyDescent="0.3">
      <c r="B158" s="13"/>
      <c r="C158" s="10">
        <v>240</v>
      </c>
      <c r="D158" s="75" t="s">
        <v>1036</v>
      </c>
      <c r="E158" s="10" t="s">
        <v>1047</v>
      </c>
      <c r="F158" s="10"/>
      <c r="G158" s="10"/>
      <c r="H158" s="10" t="s">
        <v>36</v>
      </c>
      <c r="I158" s="51" t="s">
        <v>814</v>
      </c>
      <c r="J158" s="10" t="s">
        <v>815</v>
      </c>
      <c r="K158" s="10" t="str">
        <f t="shared" si="5"/>
        <v>S6</v>
      </c>
      <c r="L158" s="26" t="s">
        <v>816</v>
      </c>
      <c r="M158" s="10" t="s">
        <v>691</v>
      </c>
      <c r="N158" s="10" t="s">
        <v>811</v>
      </c>
      <c r="O158" s="10" t="s">
        <v>948</v>
      </c>
      <c r="P158" s="13" t="s">
        <v>33</v>
      </c>
      <c r="Q158" s="10" t="s">
        <v>34</v>
      </c>
      <c r="R158" s="10"/>
      <c r="S158" s="10"/>
      <c r="T158" s="27"/>
      <c r="U158" s="30">
        <v>22.09615384615385</v>
      </c>
      <c r="V158" s="30">
        <v>0</v>
      </c>
      <c r="W158" s="30">
        <v>0</v>
      </c>
      <c r="X158" s="28"/>
      <c r="Y158" s="9"/>
      <c r="Z158" s="9"/>
      <c r="AA158" s="27"/>
      <c r="AB158" s="29"/>
      <c r="AC158" s="14" t="s">
        <v>35</v>
      </c>
      <c r="AD158" s="14" t="s">
        <v>35</v>
      </c>
      <c r="AE158" s="29"/>
      <c r="AF158" s="29"/>
      <c r="AG158" s="29"/>
      <c r="AH158" s="29"/>
      <c r="AI158" s="28"/>
      <c r="AJ158" s="3" t="s">
        <v>42</v>
      </c>
      <c r="AK158" s="3" t="s">
        <v>43</v>
      </c>
    </row>
    <row r="159" spans="2:37" hidden="1" x14ac:dyDescent="0.3">
      <c r="B159" s="13"/>
      <c r="C159" s="10">
        <v>241</v>
      </c>
      <c r="D159" s="75" t="s">
        <v>1036</v>
      </c>
      <c r="E159" s="10" t="s">
        <v>1047</v>
      </c>
      <c r="F159" s="10"/>
      <c r="G159" s="10"/>
      <c r="H159" s="10" t="s">
        <v>36</v>
      </c>
      <c r="I159" s="51" t="s">
        <v>817</v>
      </c>
      <c r="J159" s="10" t="s">
        <v>818</v>
      </c>
      <c r="K159" s="10" t="str">
        <f t="shared" ref="K159:K190" si="6">+LEFT(J159,2)</f>
        <v>S6</v>
      </c>
      <c r="L159" s="26" t="s">
        <v>819</v>
      </c>
      <c r="M159" s="10" t="s">
        <v>691</v>
      </c>
      <c r="N159" s="10" t="s">
        <v>811</v>
      </c>
      <c r="O159" s="10" t="s">
        <v>948</v>
      </c>
      <c r="P159" s="13" t="s">
        <v>33</v>
      </c>
      <c r="Q159" s="10" t="s">
        <v>34</v>
      </c>
      <c r="R159" s="10"/>
      <c r="S159" s="10"/>
      <c r="T159" s="27"/>
      <c r="U159" s="30">
        <v>19.33440170940171</v>
      </c>
      <c r="V159" s="30">
        <v>0</v>
      </c>
      <c r="W159" s="30">
        <v>0</v>
      </c>
      <c r="X159" s="28"/>
      <c r="Y159" s="9"/>
      <c r="Z159" s="9"/>
      <c r="AA159" s="27"/>
      <c r="AB159" s="29"/>
      <c r="AC159" s="14" t="s">
        <v>35</v>
      </c>
      <c r="AD159" s="14" t="s">
        <v>35</v>
      </c>
      <c r="AE159" s="29"/>
      <c r="AF159" s="29"/>
      <c r="AG159" s="29"/>
      <c r="AH159" s="29"/>
      <c r="AI159" s="28"/>
      <c r="AJ159" s="3" t="s">
        <v>42</v>
      </c>
      <c r="AK159" s="3" t="s">
        <v>43</v>
      </c>
    </row>
    <row r="160" spans="2:37" hidden="1" x14ac:dyDescent="0.3">
      <c r="B160" s="13"/>
      <c r="C160" s="10">
        <v>242</v>
      </c>
      <c r="D160" s="75" t="s">
        <v>1036</v>
      </c>
      <c r="E160" s="10" t="s">
        <v>1047</v>
      </c>
      <c r="F160" s="10"/>
      <c r="G160" s="10"/>
      <c r="H160" s="10" t="s">
        <v>36</v>
      </c>
      <c r="I160" s="51" t="s">
        <v>820</v>
      </c>
      <c r="J160" s="10" t="s">
        <v>821</v>
      </c>
      <c r="K160" s="10" t="str">
        <f t="shared" si="6"/>
        <v>S6</v>
      </c>
      <c r="L160" s="26" t="s">
        <v>822</v>
      </c>
      <c r="M160" s="10" t="s">
        <v>691</v>
      </c>
      <c r="N160" s="10" t="s">
        <v>811</v>
      </c>
      <c r="O160" s="10" t="s">
        <v>951</v>
      </c>
      <c r="P160" s="13" t="s">
        <v>33</v>
      </c>
      <c r="Q160" s="10" t="s">
        <v>34</v>
      </c>
      <c r="R160" s="10"/>
      <c r="S160" s="10"/>
      <c r="T160" s="27"/>
      <c r="U160" s="30">
        <v>6.4451566951566948</v>
      </c>
      <c r="V160" s="30">
        <v>0</v>
      </c>
      <c r="W160" s="30">
        <v>0</v>
      </c>
      <c r="X160" s="28"/>
      <c r="Y160" s="9"/>
      <c r="Z160" s="9"/>
      <c r="AA160" s="27"/>
      <c r="AB160" s="29"/>
      <c r="AC160" s="29"/>
      <c r="AD160" s="14" t="s">
        <v>35</v>
      </c>
      <c r="AE160" s="29"/>
      <c r="AF160" s="29"/>
      <c r="AG160" s="29"/>
      <c r="AH160" s="29"/>
      <c r="AI160" s="28"/>
      <c r="AJ160" s="3" t="s">
        <v>42</v>
      </c>
      <c r="AK160" s="3" t="s">
        <v>43</v>
      </c>
    </row>
    <row r="161" spans="2:37" hidden="1" x14ac:dyDescent="0.3">
      <c r="B161" s="13"/>
      <c r="C161" s="10">
        <v>243</v>
      </c>
      <c r="D161" s="75" t="s">
        <v>1036</v>
      </c>
      <c r="E161" s="10" t="s">
        <v>1047</v>
      </c>
      <c r="F161" s="10"/>
      <c r="G161" s="10"/>
      <c r="H161" s="10" t="s">
        <v>36</v>
      </c>
      <c r="I161" s="51" t="s">
        <v>823</v>
      </c>
      <c r="J161" s="10" t="s">
        <v>824</v>
      </c>
      <c r="K161" s="10" t="str">
        <f t="shared" si="6"/>
        <v>S6</v>
      </c>
      <c r="L161" s="26" t="s">
        <v>244</v>
      </c>
      <c r="M161" s="10" t="s">
        <v>691</v>
      </c>
      <c r="N161" s="10" t="s">
        <v>811</v>
      </c>
      <c r="O161" s="10" t="s">
        <v>951</v>
      </c>
      <c r="P161" s="13" t="s">
        <v>33</v>
      </c>
      <c r="Q161" s="10" t="s">
        <v>34</v>
      </c>
      <c r="R161" s="10"/>
      <c r="S161" s="10"/>
      <c r="T161" s="27"/>
      <c r="U161" s="30">
        <v>5.5242165242165244</v>
      </c>
      <c r="V161" s="30">
        <v>0</v>
      </c>
      <c r="W161" s="30">
        <v>0</v>
      </c>
      <c r="X161" s="28"/>
      <c r="Y161" s="9"/>
      <c r="Z161" s="9"/>
      <c r="AA161" s="27"/>
      <c r="AB161" s="29"/>
      <c r="AC161" s="29"/>
      <c r="AD161" s="14" t="s">
        <v>35</v>
      </c>
      <c r="AE161" s="29"/>
      <c r="AF161" s="29"/>
      <c r="AG161" s="29"/>
      <c r="AH161" s="29"/>
      <c r="AI161" s="28"/>
      <c r="AJ161" s="3" t="s">
        <v>42</v>
      </c>
      <c r="AK161" s="3" t="s">
        <v>43</v>
      </c>
    </row>
    <row r="162" spans="2:37" hidden="1" x14ac:dyDescent="0.3">
      <c r="B162" s="13"/>
      <c r="C162" s="10">
        <v>247</v>
      </c>
      <c r="D162" s="75" t="s">
        <v>1036</v>
      </c>
      <c r="E162" s="10" t="s">
        <v>1047</v>
      </c>
      <c r="F162" s="10"/>
      <c r="G162" s="10"/>
      <c r="H162" s="10" t="s">
        <v>36</v>
      </c>
      <c r="I162" s="10" t="s">
        <v>833</v>
      </c>
      <c r="J162" s="10" t="s">
        <v>834</v>
      </c>
      <c r="K162" s="10" t="str">
        <f t="shared" si="6"/>
        <v>S6</v>
      </c>
      <c r="L162" s="26" t="s">
        <v>835</v>
      </c>
      <c r="M162" s="10" t="s">
        <v>691</v>
      </c>
      <c r="N162" s="10" t="s">
        <v>380</v>
      </c>
      <c r="O162" s="10" t="s">
        <v>951</v>
      </c>
      <c r="P162" s="13" t="s">
        <v>213</v>
      </c>
      <c r="Q162" s="10" t="s">
        <v>34</v>
      </c>
      <c r="R162" s="10"/>
      <c r="S162" s="10"/>
      <c r="T162" s="27"/>
      <c r="U162" s="30">
        <v>2.7621082621082622</v>
      </c>
      <c r="V162" s="30">
        <v>0</v>
      </c>
      <c r="W162" s="30">
        <v>0</v>
      </c>
      <c r="X162" s="28"/>
      <c r="Y162" s="9"/>
      <c r="Z162" s="9"/>
      <c r="AA162" s="27"/>
      <c r="AB162" s="29"/>
      <c r="AC162" s="29"/>
      <c r="AD162" s="14" t="s">
        <v>35</v>
      </c>
      <c r="AE162" s="29"/>
      <c r="AF162" s="29"/>
      <c r="AG162" s="29"/>
      <c r="AH162" s="29"/>
      <c r="AI162" s="28"/>
      <c r="AJ162" s="3" t="s">
        <v>42</v>
      </c>
      <c r="AK162" s="3" t="s">
        <v>43</v>
      </c>
    </row>
    <row r="163" spans="2:37" ht="52.95" hidden="1" customHeight="1" x14ac:dyDescent="0.3">
      <c r="B163" s="13"/>
      <c r="C163" s="10">
        <v>256</v>
      </c>
      <c r="D163" s="75" t="s">
        <v>1036</v>
      </c>
      <c r="E163" s="10" t="s">
        <v>1047</v>
      </c>
      <c r="F163" s="10"/>
      <c r="G163" s="10"/>
      <c r="H163" s="10" t="s">
        <v>36</v>
      </c>
      <c r="I163" s="10" t="s">
        <v>859</v>
      </c>
      <c r="J163" s="10" t="s">
        <v>860</v>
      </c>
      <c r="K163" s="10" t="str">
        <f t="shared" si="6"/>
        <v>S6</v>
      </c>
      <c r="L163" s="26" t="s">
        <v>861</v>
      </c>
      <c r="M163" s="10" t="s">
        <v>691</v>
      </c>
      <c r="N163" s="10" t="s">
        <v>151</v>
      </c>
      <c r="O163" s="10" t="s">
        <v>955</v>
      </c>
      <c r="P163" s="13" t="s">
        <v>33</v>
      </c>
      <c r="Q163" s="10" t="s">
        <v>34</v>
      </c>
      <c r="R163" s="10"/>
      <c r="S163" s="10"/>
      <c r="T163" s="27"/>
      <c r="U163" s="30">
        <v>6.9049145299145298</v>
      </c>
      <c r="V163" s="30">
        <v>0</v>
      </c>
      <c r="W163" s="30">
        <v>0</v>
      </c>
      <c r="X163" s="28"/>
      <c r="Y163" s="9"/>
      <c r="Z163" s="9"/>
      <c r="AA163" s="27"/>
      <c r="AB163" s="14" t="s">
        <v>35</v>
      </c>
      <c r="AC163" s="29"/>
      <c r="AD163" s="14" t="s">
        <v>35</v>
      </c>
      <c r="AE163" s="29"/>
      <c r="AF163" s="29"/>
      <c r="AG163" s="29"/>
      <c r="AH163" s="29"/>
      <c r="AI163" s="28"/>
      <c r="AJ163" s="3" t="s">
        <v>42</v>
      </c>
    </row>
    <row r="164" spans="2:37" ht="52.95" hidden="1" customHeight="1" x14ac:dyDescent="0.3">
      <c r="B164" s="13"/>
      <c r="C164" s="13">
        <v>1007</v>
      </c>
      <c r="D164" s="77" t="s">
        <v>1044</v>
      </c>
      <c r="E164" s="10"/>
      <c r="F164" s="10"/>
      <c r="G164" s="10"/>
      <c r="H164" s="10" t="s">
        <v>119</v>
      </c>
      <c r="I164" s="10" t="s">
        <v>876</v>
      </c>
      <c r="J164" s="10" t="s">
        <v>877</v>
      </c>
      <c r="K164" s="10" t="str">
        <f t="shared" si="6"/>
        <v>S1</v>
      </c>
      <c r="L164" s="10" t="s">
        <v>878</v>
      </c>
      <c r="M164" s="10" t="s">
        <v>691</v>
      </c>
      <c r="N164" s="10" t="s">
        <v>151</v>
      </c>
      <c r="O164" s="10" t="s">
        <v>948</v>
      </c>
      <c r="P164" s="13" t="s">
        <v>213</v>
      </c>
      <c r="Q164" s="10" t="s">
        <v>1011</v>
      </c>
      <c r="R164" s="10"/>
      <c r="S164" s="10"/>
      <c r="T164" s="27"/>
      <c r="U164" s="30">
        <v>4.6214387464387467</v>
      </c>
      <c r="V164" s="30">
        <v>0</v>
      </c>
      <c r="W164" s="30">
        <v>0</v>
      </c>
      <c r="X164" s="28"/>
      <c r="Y164" s="9"/>
      <c r="Z164" s="9"/>
      <c r="AA164" s="27"/>
      <c r="AB164" s="29"/>
      <c r="AC164" s="14" t="s">
        <v>35</v>
      </c>
      <c r="AD164" s="14" t="s">
        <v>35</v>
      </c>
      <c r="AE164" s="29"/>
      <c r="AF164" s="29"/>
      <c r="AG164" s="29"/>
      <c r="AH164" s="29"/>
      <c r="AI164" s="28"/>
      <c r="AJ164" s="3" t="s">
        <v>42</v>
      </c>
    </row>
    <row r="165" spans="2:37" hidden="1" x14ac:dyDescent="0.3">
      <c r="B165" s="13"/>
      <c r="C165" s="10">
        <v>257</v>
      </c>
      <c r="D165" s="77" t="s">
        <v>1044</v>
      </c>
      <c r="E165" s="10"/>
      <c r="F165" s="10"/>
      <c r="G165" s="10"/>
      <c r="H165" s="10"/>
      <c r="I165" s="10" t="s">
        <v>862</v>
      </c>
      <c r="J165" s="10" t="s">
        <v>863</v>
      </c>
      <c r="K165" s="10" t="str">
        <f t="shared" si="6"/>
        <v>S6</v>
      </c>
      <c r="L165" s="26" t="s">
        <v>864</v>
      </c>
      <c r="M165" s="10" t="s">
        <v>691</v>
      </c>
      <c r="N165" s="10" t="s">
        <v>151</v>
      </c>
      <c r="O165" s="10" t="s">
        <v>951</v>
      </c>
      <c r="P165" s="13" t="s">
        <v>1010</v>
      </c>
      <c r="Q165" s="10" t="s">
        <v>34</v>
      </c>
      <c r="R165" s="10"/>
      <c r="S165" s="10"/>
      <c r="T165" s="27"/>
      <c r="U165" s="30">
        <v>7.3660968660968669</v>
      </c>
      <c r="V165" s="30">
        <v>0</v>
      </c>
      <c r="W165" s="30">
        <v>0</v>
      </c>
      <c r="X165" s="28"/>
      <c r="Y165" s="9"/>
      <c r="Z165" s="9"/>
      <c r="AA165" s="27"/>
      <c r="AB165" s="29"/>
      <c r="AC165" s="29"/>
      <c r="AD165" s="14" t="s">
        <v>35</v>
      </c>
      <c r="AE165" s="29"/>
      <c r="AF165" s="29"/>
      <c r="AG165" s="29"/>
      <c r="AH165" s="29"/>
      <c r="AI165" s="28"/>
      <c r="AJ165" s="3" t="s">
        <v>578</v>
      </c>
    </row>
    <row r="166" spans="2:37" ht="52.95" hidden="1" customHeight="1" x14ac:dyDescent="0.3">
      <c r="B166" s="13"/>
      <c r="C166" s="10">
        <v>259</v>
      </c>
      <c r="D166" s="77" t="s">
        <v>1044</v>
      </c>
      <c r="E166" s="10"/>
      <c r="F166" s="10"/>
      <c r="G166" s="10"/>
      <c r="H166" s="10" t="s">
        <v>119</v>
      </c>
      <c r="I166" s="10" t="s">
        <v>868</v>
      </c>
      <c r="J166" s="10" t="s">
        <v>869</v>
      </c>
      <c r="K166" s="10" t="str">
        <f t="shared" si="6"/>
        <v>S1</v>
      </c>
      <c r="L166" s="26" t="s">
        <v>870</v>
      </c>
      <c r="M166" s="10" t="s">
        <v>691</v>
      </c>
      <c r="N166" s="10" t="s">
        <v>41</v>
      </c>
      <c r="O166" s="10" t="s">
        <v>952</v>
      </c>
      <c r="P166" s="13" t="s">
        <v>1029</v>
      </c>
      <c r="Q166" s="10" t="s">
        <v>34</v>
      </c>
      <c r="R166" s="10"/>
      <c r="S166" s="10"/>
      <c r="T166" s="27"/>
      <c r="U166" s="30">
        <v>6.9049145299145298</v>
      </c>
      <c r="V166" s="30">
        <v>0</v>
      </c>
      <c r="W166" s="30">
        <v>0</v>
      </c>
      <c r="X166" s="28"/>
      <c r="Y166" s="9"/>
      <c r="Z166" s="9"/>
      <c r="AA166" s="27"/>
      <c r="AB166" s="14" t="s">
        <v>35</v>
      </c>
      <c r="AC166" s="14" t="s">
        <v>35</v>
      </c>
      <c r="AD166" s="14" t="s">
        <v>35</v>
      </c>
      <c r="AE166" s="29"/>
      <c r="AF166" s="29"/>
      <c r="AG166" s="29"/>
      <c r="AH166" s="29"/>
      <c r="AI166" s="28"/>
      <c r="AJ166" s="3" t="s">
        <v>42</v>
      </c>
    </row>
    <row r="167" spans="2:37" ht="52.95" hidden="1" customHeight="1" x14ac:dyDescent="0.3">
      <c r="B167" s="13"/>
      <c r="C167" s="13">
        <v>1041</v>
      </c>
      <c r="D167" s="77" t="s">
        <v>1044</v>
      </c>
      <c r="E167" s="10"/>
      <c r="F167" s="10"/>
      <c r="G167" s="10"/>
      <c r="H167" s="10" t="s">
        <v>119</v>
      </c>
      <c r="I167" s="34" t="s">
        <v>897</v>
      </c>
      <c r="J167" s="10" t="s">
        <v>898</v>
      </c>
      <c r="K167" s="10" t="str">
        <f t="shared" si="6"/>
        <v>S2</v>
      </c>
      <c r="L167" s="10" t="s">
        <v>899</v>
      </c>
      <c r="M167" s="10" t="s">
        <v>691</v>
      </c>
      <c r="N167" s="10" t="s">
        <v>41</v>
      </c>
      <c r="O167" s="10" t="s">
        <v>948</v>
      </c>
      <c r="P167" s="13" t="s">
        <v>213</v>
      </c>
      <c r="Q167" s="10" t="s">
        <v>1011</v>
      </c>
      <c r="R167" s="10"/>
      <c r="S167" s="10"/>
      <c r="T167" s="27"/>
      <c r="U167" s="30">
        <v>0</v>
      </c>
      <c r="V167" s="30">
        <v>0</v>
      </c>
      <c r="W167" s="30">
        <v>0</v>
      </c>
      <c r="X167" s="28"/>
      <c r="Y167" s="9"/>
      <c r="Z167" s="9"/>
      <c r="AA167" s="27"/>
      <c r="AB167" s="29"/>
      <c r="AC167" s="14" t="s">
        <v>35</v>
      </c>
      <c r="AD167" s="14" t="s">
        <v>35</v>
      </c>
      <c r="AE167" s="29"/>
      <c r="AF167" s="29"/>
      <c r="AG167" s="29"/>
      <c r="AH167" s="29"/>
      <c r="AI167" s="28"/>
      <c r="AJ167" s="3" t="s">
        <v>283</v>
      </c>
      <c r="AK167" s="3" t="s">
        <v>585</v>
      </c>
    </row>
    <row r="168" spans="2:37" ht="52.95" hidden="1" customHeight="1" x14ac:dyDescent="0.3">
      <c r="B168" s="13"/>
      <c r="C168" s="13">
        <v>1042</v>
      </c>
      <c r="D168" s="77" t="s">
        <v>1044</v>
      </c>
      <c r="E168" s="10"/>
      <c r="F168" s="10"/>
      <c r="G168" s="10"/>
      <c r="H168" s="10" t="s">
        <v>119</v>
      </c>
      <c r="I168" s="34" t="s">
        <v>900</v>
      </c>
      <c r="J168" s="10" t="s">
        <v>901</v>
      </c>
      <c r="K168" s="10" t="str">
        <f t="shared" si="6"/>
        <v>S2</v>
      </c>
      <c r="L168" s="10" t="s">
        <v>902</v>
      </c>
      <c r="M168" s="10" t="s">
        <v>691</v>
      </c>
      <c r="N168" s="10" t="s">
        <v>380</v>
      </c>
      <c r="O168" s="10" t="s">
        <v>952</v>
      </c>
      <c r="P168" s="13" t="s">
        <v>213</v>
      </c>
      <c r="Q168" s="10" t="s">
        <v>1011</v>
      </c>
      <c r="R168" s="10"/>
      <c r="S168" s="10"/>
      <c r="T168" s="27"/>
      <c r="U168" s="30">
        <v>0</v>
      </c>
      <c r="V168" s="30">
        <v>0</v>
      </c>
      <c r="W168" s="30">
        <v>0</v>
      </c>
      <c r="X168" s="28"/>
      <c r="Y168" s="9"/>
      <c r="Z168" s="9"/>
      <c r="AA168" s="27"/>
      <c r="AB168" s="14" t="s">
        <v>35</v>
      </c>
      <c r="AC168" s="14" t="s">
        <v>35</v>
      </c>
      <c r="AD168" s="14" t="s">
        <v>35</v>
      </c>
      <c r="AE168" s="29"/>
      <c r="AF168" s="29"/>
      <c r="AG168" s="29"/>
      <c r="AH168" s="29"/>
      <c r="AI168" s="28"/>
      <c r="AJ168" s="3" t="s">
        <v>283</v>
      </c>
      <c r="AK168" s="3" t="s">
        <v>585</v>
      </c>
    </row>
    <row r="169" spans="2:37" ht="52.95" hidden="1" customHeight="1" x14ac:dyDescent="0.3">
      <c r="B169" s="13"/>
      <c r="C169" s="13">
        <v>1048</v>
      </c>
      <c r="D169" s="77" t="s">
        <v>1044</v>
      </c>
      <c r="E169" s="10"/>
      <c r="F169" s="10"/>
      <c r="G169" s="10"/>
      <c r="H169" s="10" t="s">
        <v>119</v>
      </c>
      <c r="I169" s="34" t="s">
        <v>906</v>
      </c>
      <c r="J169" s="10" t="s">
        <v>907</v>
      </c>
      <c r="K169" s="10" t="str">
        <f t="shared" si="6"/>
        <v>S2</v>
      </c>
      <c r="L169" s="10" t="s">
        <v>908</v>
      </c>
      <c r="M169" s="10" t="s">
        <v>691</v>
      </c>
      <c r="N169" s="10" t="s">
        <v>41</v>
      </c>
      <c r="O169" s="10" t="s">
        <v>948</v>
      </c>
      <c r="P169" s="13" t="s">
        <v>213</v>
      </c>
      <c r="Q169" s="10" t="s">
        <v>1011</v>
      </c>
      <c r="R169" s="10"/>
      <c r="S169" s="10"/>
      <c r="T169" s="27"/>
      <c r="U169" s="30">
        <v>0</v>
      </c>
      <c r="V169" s="30">
        <v>0</v>
      </c>
      <c r="W169" s="30">
        <v>0</v>
      </c>
      <c r="X169" s="28"/>
      <c r="Y169" s="9"/>
      <c r="Z169" s="9"/>
      <c r="AA169" s="27"/>
      <c r="AB169" s="29"/>
      <c r="AC169" s="14" t="s">
        <v>35</v>
      </c>
      <c r="AD169" s="14" t="s">
        <v>35</v>
      </c>
      <c r="AE169" s="29"/>
      <c r="AF169" s="29"/>
      <c r="AG169" s="29"/>
      <c r="AH169" s="29"/>
      <c r="AI169" s="28"/>
      <c r="AJ169" s="3" t="s">
        <v>283</v>
      </c>
      <c r="AK169" s="3" t="s">
        <v>585</v>
      </c>
    </row>
    <row r="170" spans="2:37" ht="52.95" hidden="1" customHeight="1" x14ac:dyDescent="0.3">
      <c r="B170" s="13"/>
      <c r="C170" s="10">
        <v>258</v>
      </c>
      <c r="D170" s="77" t="s">
        <v>1044</v>
      </c>
      <c r="E170" s="10"/>
      <c r="F170" s="10"/>
      <c r="G170" s="10"/>
      <c r="H170" s="10" t="s">
        <v>119</v>
      </c>
      <c r="I170" s="10" t="s">
        <v>865</v>
      </c>
      <c r="J170" s="10" t="s">
        <v>866</v>
      </c>
      <c r="K170" s="10" t="str">
        <f t="shared" si="6"/>
        <v>S1</v>
      </c>
      <c r="L170" s="26" t="s">
        <v>867</v>
      </c>
      <c r="M170" s="10" t="s">
        <v>691</v>
      </c>
      <c r="N170" s="10" t="s">
        <v>380</v>
      </c>
      <c r="O170" s="10" t="s">
        <v>948</v>
      </c>
      <c r="P170" s="13" t="s">
        <v>331</v>
      </c>
      <c r="Q170" s="10" t="s">
        <v>34</v>
      </c>
      <c r="R170" s="10"/>
      <c r="S170" s="10"/>
      <c r="T170" s="27"/>
      <c r="U170" s="30">
        <v>4.6036324786324796</v>
      </c>
      <c r="V170" s="30">
        <v>0</v>
      </c>
      <c r="W170" s="30">
        <v>0</v>
      </c>
      <c r="X170" s="28"/>
      <c r="Y170" s="9"/>
      <c r="Z170" s="9"/>
      <c r="AA170" s="27"/>
      <c r="AB170" s="29"/>
      <c r="AC170" s="14" t="s">
        <v>35</v>
      </c>
      <c r="AD170" s="14" t="s">
        <v>35</v>
      </c>
      <c r="AE170" s="29"/>
      <c r="AF170" s="29"/>
      <c r="AG170" s="29"/>
      <c r="AH170" s="29"/>
      <c r="AI170" s="28"/>
      <c r="AJ170" s="3" t="s">
        <v>42</v>
      </c>
    </row>
    <row r="171" spans="2:37" ht="52.95" hidden="1" customHeight="1" x14ac:dyDescent="0.3">
      <c r="B171" s="13"/>
      <c r="C171" s="10">
        <v>228</v>
      </c>
      <c r="D171" s="75" t="s">
        <v>1036</v>
      </c>
      <c r="E171" s="10"/>
      <c r="F171" s="10"/>
      <c r="G171" s="10"/>
      <c r="H171" s="10" t="s">
        <v>109</v>
      </c>
      <c r="I171" s="51" t="s">
        <v>771</v>
      </c>
      <c r="J171" s="10" t="s">
        <v>772</v>
      </c>
      <c r="K171" s="10" t="str">
        <f t="shared" si="6"/>
        <v>S4</v>
      </c>
      <c r="L171" s="26" t="s">
        <v>773</v>
      </c>
      <c r="M171" s="10" t="s">
        <v>691</v>
      </c>
      <c r="N171" s="10" t="s">
        <v>774</v>
      </c>
      <c r="O171" s="10" t="s">
        <v>952</v>
      </c>
      <c r="P171" s="13" t="s">
        <v>33</v>
      </c>
      <c r="Q171" s="10" t="s">
        <v>34</v>
      </c>
      <c r="R171" s="10"/>
      <c r="S171" s="10"/>
      <c r="T171" s="27"/>
      <c r="U171" s="30">
        <v>5.5242165242165244</v>
      </c>
      <c r="V171" s="30">
        <v>0</v>
      </c>
      <c r="W171" s="30">
        <v>0</v>
      </c>
      <c r="X171" s="28"/>
      <c r="Y171" s="9"/>
      <c r="Z171" s="9"/>
      <c r="AA171" s="27"/>
      <c r="AB171" s="14" t="s">
        <v>35</v>
      </c>
      <c r="AC171" s="14" t="s">
        <v>35</v>
      </c>
      <c r="AD171" s="14" t="s">
        <v>35</v>
      </c>
      <c r="AE171" s="29"/>
      <c r="AF171" s="29"/>
      <c r="AG171" s="29"/>
      <c r="AH171" s="29"/>
      <c r="AI171" s="28"/>
      <c r="AJ171" s="3" t="s">
        <v>42</v>
      </c>
    </row>
    <row r="172" spans="2:37" hidden="1" x14ac:dyDescent="0.3">
      <c r="B172" s="13"/>
      <c r="C172" s="10">
        <v>1</v>
      </c>
      <c r="D172" s="75" t="s">
        <v>1036</v>
      </c>
      <c r="E172" s="10" t="s">
        <v>1047</v>
      </c>
      <c r="F172" s="10"/>
      <c r="G172" s="10"/>
      <c r="H172" s="10" t="s">
        <v>36</v>
      </c>
      <c r="I172" s="51" t="s">
        <v>37</v>
      </c>
      <c r="J172" s="10" t="s">
        <v>38</v>
      </c>
      <c r="K172" s="10" t="str">
        <f t="shared" si="6"/>
        <v>S1</v>
      </c>
      <c r="L172" s="26" t="s">
        <v>39</v>
      </c>
      <c r="M172" s="10" t="s">
        <v>40</v>
      </c>
      <c r="N172" s="10" t="s">
        <v>41</v>
      </c>
      <c r="O172" s="10" t="s">
        <v>948</v>
      </c>
      <c r="P172" s="13" t="s">
        <v>213</v>
      </c>
      <c r="Q172" s="10" t="s">
        <v>34</v>
      </c>
      <c r="R172" s="10"/>
      <c r="S172" s="10"/>
      <c r="T172" s="27"/>
      <c r="U172" s="30">
        <v>10.357549857549857</v>
      </c>
      <c r="V172" s="30">
        <v>0</v>
      </c>
      <c r="W172" s="30">
        <v>0</v>
      </c>
      <c r="X172" s="27"/>
      <c r="Y172" s="9"/>
      <c r="Z172" s="9"/>
      <c r="AA172" s="27"/>
      <c r="AB172" s="29"/>
      <c r="AC172" s="14" t="s">
        <v>35</v>
      </c>
      <c r="AD172" s="14" t="s">
        <v>35</v>
      </c>
      <c r="AE172" s="29"/>
      <c r="AF172" s="29"/>
      <c r="AG172" s="29"/>
      <c r="AH172" s="29"/>
      <c r="AI172" s="28"/>
      <c r="AJ172" s="3" t="s">
        <v>42</v>
      </c>
    </row>
    <row r="173" spans="2:37" ht="52.95" hidden="1" customHeight="1" x14ac:dyDescent="0.3">
      <c r="B173" s="13"/>
      <c r="C173" s="10">
        <v>121</v>
      </c>
      <c r="D173" s="77" t="s">
        <v>1044</v>
      </c>
      <c r="E173" s="10"/>
      <c r="F173" s="10"/>
      <c r="G173" s="10"/>
      <c r="H173" s="10" t="s">
        <v>119</v>
      </c>
      <c r="I173" s="51" t="s">
        <v>454</v>
      </c>
      <c r="J173" s="10" t="s">
        <v>925</v>
      </c>
      <c r="K173" s="10" t="str">
        <f t="shared" si="6"/>
        <v>S1</v>
      </c>
      <c r="L173" s="26" t="s">
        <v>244</v>
      </c>
      <c r="M173" s="10" t="s">
        <v>40</v>
      </c>
      <c r="N173" s="10" t="s">
        <v>41</v>
      </c>
      <c r="O173" s="10" t="s">
        <v>948</v>
      </c>
      <c r="P173" s="13" t="s">
        <v>33</v>
      </c>
      <c r="Q173" s="10" t="s">
        <v>34</v>
      </c>
      <c r="R173" s="10"/>
      <c r="S173" s="10"/>
      <c r="T173" s="27"/>
      <c r="U173" s="30">
        <v>0</v>
      </c>
      <c r="V173" s="30">
        <v>0</v>
      </c>
      <c r="W173" s="30">
        <v>0</v>
      </c>
      <c r="X173" s="28"/>
      <c r="Y173" s="9"/>
      <c r="Z173" s="9"/>
      <c r="AA173" s="27"/>
      <c r="AB173" s="29"/>
      <c r="AC173" s="14" t="s">
        <v>35</v>
      </c>
      <c r="AD173" s="14" t="s">
        <v>35</v>
      </c>
      <c r="AE173" s="29"/>
      <c r="AF173" s="29"/>
      <c r="AG173" s="29"/>
      <c r="AH173" s="29"/>
      <c r="AI173" s="28"/>
      <c r="AJ173" s="3" t="s">
        <v>42</v>
      </c>
    </row>
    <row r="174" spans="2:37" ht="52.95" hidden="1" customHeight="1" x14ac:dyDescent="0.3">
      <c r="B174" s="13"/>
      <c r="C174" s="10">
        <v>122</v>
      </c>
      <c r="D174" s="77" t="s">
        <v>1044</v>
      </c>
      <c r="E174" s="10"/>
      <c r="F174" s="10"/>
      <c r="G174" s="10"/>
      <c r="H174" s="10" t="s">
        <v>119</v>
      </c>
      <c r="I174" s="51" t="s">
        <v>455</v>
      </c>
      <c r="J174" s="10" t="s">
        <v>456</v>
      </c>
      <c r="K174" s="10" t="str">
        <f t="shared" si="6"/>
        <v>S2</v>
      </c>
      <c r="L174" s="26" t="s">
        <v>244</v>
      </c>
      <c r="M174" s="10" t="s">
        <v>40</v>
      </c>
      <c r="N174" s="10" t="s">
        <v>41</v>
      </c>
      <c r="O174" s="10" t="s">
        <v>948</v>
      </c>
      <c r="P174" s="13" t="s">
        <v>33</v>
      </c>
      <c r="Q174" s="10" t="s">
        <v>34</v>
      </c>
      <c r="R174" s="10"/>
      <c r="S174" s="10"/>
      <c r="T174" s="27"/>
      <c r="U174" s="30">
        <v>0</v>
      </c>
      <c r="V174" s="30">
        <v>0</v>
      </c>
      <c r="W174" s="30">
        <v>0</v>
      </c>
      <c r="X174" s="28"/>
      <c r="Y174" s="9"/>
      <c r="Z174" s="9"/>
      <c r="AA174" s="27"/>
      <c r="AB174" s="29"/>
      <c r="AC174" s="14" t="s">
        <v>35</v>
      </c>
      <c r="AD174" s="14" t="s">
        <v>35</v>
      </c>
      <c r="AE174" s="29"/>
      <c r="AF174" s="29"/>
      <c r="AG174" s="29"/>
      <c r="AH174" s="29"/>
      <c r="AI174" s="28"/>
      <c r="AJ174" s="3" t="s">
        <v>42</v>
      </c>
    </row>
    <row r="175" spans="2:37" ht="52.95" hidden="1" customHeight="1" x14ac:dyDescent="0.3">
      <c r="B175" s="13"/>
      <c r="C175" s="10">
        <v>32</v>
      </c>
      <c r="D175" s="77" t="s">
        <v>1044</v>
      </c>
      <c r="E175" s="10"/>
      <c r="F175" s="10"/>
      <c r="G175" s="10"/>
      <c r="H175" s="10" t="s">
        <v>119</v>
      </c>
      <c r="I175" s="10" t="s">
        <v>148</v>
      </c>
      <c r="J175" s="10" t="s">
        <v>149</v>
      </c>
      <c r="K175" s="10" t="str">
        <f t="shared" si="6"/>
        <v>S1</v>
      </c>
      <c r="L175" s="26" t="s">
        <v>150</v>
      </c>
      <c r="M175" s="10" t="s">
        <v>40</v>
      </c>
      <c r="N175" s="10" t="s">
        <v>151</v>
      </c>
      <c r="O175" s="10" t="s">
        <v>948</v>
      </c>
      <c r="P175" s="13" t="s">
        <v>33</v>
      </c>
      <c r="Q175" s="10" t="s">
        <v>34</v>
      </c>
      <c r="R175" s="10"/>
      <c r="S175" s="10"/>
      <c r="T175" s="27"/>
      <c r="U175" s="30">
        <v>10.357549857549857</v>
      </c>
      <c r="V175" s="30">
        <v>0</v>
      </c>
      <c r="W175" s="30">
        <v>0</v>
      </c>
      <c r="X175" s="28"/>
      <c r="Y175" s="9"/>
      <c r="Z175" s="9"/>
      <c r="AA175" s="27"/>
      <c r="AB175" s="29"/>
      <c r="AC175" s="14" t="s">
        <v>35</v>
      </c>
      <c r="AD175" s="14" t="s">
        <v>35</v>
      </c>
      <c r="AE175" s="29"/>
      <c r="AF175" s="29"/>
      <c r="AG175" s="29"/>
      <c r="AH175" s="29"/>
      <c r="AI175" s="28"/>
      <c r="AJ175" s="3" t="s">
        <v>42</v>
      </c>
    </row>
    <row r="176" spans="2:37" ht="52.95" hidden="1" customHeight="1" x14ac:dyDescent="0.3">
      <c r="B176" s="13"/>
      <c r="C176" s="10">
        <v>33</v>
      </c>
      <c r="D176" s="77" t="s">
        <v>1044</v>
      </c>
      <c r="E176" s="10"/>
      <c r="F176" s="10"/>
      <c r="G176" s="10"/>
      <c r="H176" s="10" t="s">
        <v>119</v>
      </c>
      <c r="I176" s="10" t="s">
        <v>152</v>
      </c>
      <c r="J176" s="10" t="s">
        <v>153</v>
      </c>
      <c r="K176" s="10" t="str">
        <f t="shared" si="6"/>
        <v>S1</v>
      </c>
      <c r="L176" s="26" t="s">
        <v>154</v>
      </c>
      <c r="M176" s="10" t="s">
        <v>40</v>
      </c>
      <c r="N176" s="10" t="s">
        <v>151</v>
      </c>
      <c r="O176" s="10" t="s">
        <v>951</v>
      </c>
      <c r="P176" s="13" t="s">
        <v>213</v>
      </c>
      <c r="Q176" s="10" t="s">
        <v>34</v>
      </c>
      <c r="R176" s="10"/>
      <c r="S176" s="10"/>
      <c r="T176" s="27"/>
      <c r="U176" s="30">
        <v>4.0281339031339032</v>
      </c>
      <c r="V176" s="30">
        <v>0</v>
      </c>
      <c r="W176" s="30">
        <v>0</v>
      </c>
      <c r="X176" s="28"/>
      <c r="Y176" s="9"/>
      <c r="Z176" s="9"/>
      <c r="AA176" s="27"/>
      <c r="AB176" s="29"/>
      <c r="AC176" s="29"/>
      <c r="AD176" s="14" t="s">
        <v>35</v>
      </c>
      <c r="AE176" s="29"/>
      <c r="AF176" s="29"/>
      <c r="AG176" s="29"/>
      <c r="AH176" s="29"/>
      <c r="AI176" s="28"/>
      <c r="AJ176" s="3" t="s">
        <v>42</v>
      </c>
    </row>
    <row r="177" spans="2:37" hidden="1" x14ac:dyDescent="0.3">
      <c r="B177" s="13"/>
      <c r="C177" s="10">
        <v>34</v>
      </c>
      <c r="D177" s="77" t="s">
        <v>1044</v>
      </c>
      <c r="E177" s="10"/>
      <c r="F177" s="10"/>
      <c r="G177" s="10"/>
      <c r="H177" s="10" t="s">
        <v>119</v>
      </c>
      <c r="I177" s="10" t="s">
        <v>155</v>
      </c>
      <c r="J177" s="10" t="s">
        <v>156</v>
      </c>
      <c r="K177" s="10" t="str">
        <f t="shared" si="6"/>
        <v>S1</v>
      </c>
      <c r="L177" s="26" t="s">
        <v>157</v>
      </c>
      <c r="M177" s="10" t="s">
        <v>40</v>
      </c>
      <c r="N177" s="10" t="s">
        <v>151</v>
      </c>
      <c r="O177" s="10" t="s">
        <v>951</v>
      </c>
      <c r="P177" s="13" t="s">
        <v>33</v>
      </c>
      <c r="Q177" s="10" t="s">
        <v>34</v>
      </c>
      <c r="R177" s="10"/>
      <c r="S177" s="10"/>
      <c r="T177" s="27"/>
      <c r="U177" s="30">
        <v>6.4451566951566948</v>
      </c>
      <c r="V177" s="30">
        <v>0</v>
      </c>
      <c r="W177" s="30">
        <v>0</v>
      </c>
      <c r="X177" s="28"/>
      <c r="Y177" s="9"/>
      <c r="Z177" s="9"/>
      <c r="AA177" s="27"/>
      <c r="AB177" s="29"/>
      <c r="AC177" s="29"/>
      <c r="AD177" s="14" t="s">
        <v>35</v>
      </c>
      <c r="AE177" s="29"/>
      <c r="AF177" s="29"/>
      <c r="AG177" s="29"/>
      <c r="AH177" s="29"/>
      <c r="AI177" s="28"/>
      <c r="AJ177" s="3" t="s">
        <v>42</v>
      </c>
      <c r="AK177" s="3" t="s">
        <v>43</v>
      </c>
    </row>
    <row r="178" spans="2:37" hidden="1" x14ac:dyDescent="0.3">
      <c r="B178" s="13"/>
      <c r="C178" s="10">
        <v>35</v>
      </c>
      <c r="D178" s="77" t="s">
        <v>1044</v>
      </c>
      <c r="E178" s="10"/>
      <c r="F178" s="10"/>
      <c r="G178" s="10"/>
      <c r="H178" s="10" t="s">
        <v>119</v>
      </c>
      <c r="I178" s="10" t="s">
        <v>158</v>
      </c>
      <c r="J178" s="10" t="s">
        <v>159</v>
      </c>
      <c r="K178" s="10" t="str">
        <f t="shared" si="6"/>
        <v>S1</v>
      </c>
      <c r="L178" s="26" t="s">
        <v>160</v>
      </c>
      <c r="M178" s="10" t="s">
        <v>40</v>
      </c>
      <c r="N178" s="10" t="s">
        <v>151</v>
      </c>
      <c r="O178" s="10" t="s">
        <v>951</v>
      </c>
      <c r="P178" s="13" t="s">
        <v>33</v>
      </c>
      <c r="Q178" s="10" t="s">
        <v>34</v>
      </c>
      <c r="R178" s="10"/>
      <c r="S178" s="10"/>
      <c r="T178" s="27"/>
      <c r="U178" s="30">
        <v>4.0281339031339032</v>
      </c>
      <c r="V178" s="30">
        <v>0</v>
      </c>
      <c r="W178" s="30">
        <v>0</v>
      </c>
      <c r="X178" s="28"/>
      <c r="Y178" s="9"/>
      <c r="Z178" s="9"/>
      <c r="AA178" s="27"/>
      <c r="AB178" s="29"/>
      <c r="AC178" s="29"/>
      <c r="AD178" s="14" t="s">
        <v>35</v>
      </c>
      <c r="AE178" s="29"/>
      <c r="AF178" s="29"/>
      <c r="AG178" s="29"/>
      <c r="AH178" s="29"/>
      <c r="AI178" s="28"/>
      <c r="AJ178" s="3" t="s">
        <v>42</v>
      </c>
      <c r="AK178" s="3" t="s">
        <v>43</v>
      </c>
    </row>
    <row r="179" spans="2:37" hidden="1" x14ac:dyDescent="0.3">
      <c r="B179" s="13"/>
      <c r="C179" s="10">
        <v>36</v>
      </c>
      <c r="D179" s="77" t="s">
        <v>1044</v>
      </c>
      <c r="E179" s="10"/>
      <c r="F179" s="10"/>
      <c r="G179" s="10"/>
      <c r="H179" s="10" t="s">
        <v>119</v>
      </c>
      <c r="I179" s="10" t="s">
        <v>161</v>
      </c>
      <c r="J179" s="10" t="s">
        <v>162</v>
      </c>
      <c r="K179" s="10" t="str">
        <f t="shared" si="6"/>
        <v>S1</v>
      </c>
      <c r="L179" s="26" t="s">
        <v>163</v>
      </c>
      <c r="M179" s="10" t="s">
        <v>40</v>
      </c>
      <c r="N179" s="10" t="s">
        <v>151</v>
      </c>
      <c r="O179" s="10" t="s">
        <v>948</v>
      </c>
      <c r="P179" s="13" t="s">
        <v>33</v>
      </c>
      <c r="Q179" s="10" t="s">
        <v>34</v>
      </c>
      <c r="R179" s="10"/>
      <c r="S179" s="10"/>
      <c r="T179" s="27"/>
      <c r="U179" s="30">
        <v>3.6830484330484334</v>
      </c>
      <c r="V179" s="30">
        <v>0</v>
      </c>
      <c r="W179" s="30">
        <v>0</v>
      </c>
      <c r="X179" s="28"/>
      <c r="Y179" s="9"/>
      <c r="Z179" s="9"/>
      <c r="AA179" s="27"/>
      <c r="AB179" s="29"/>
      <c r="AC179" s="14" t="s">
        <v>35</v>
      </c>
      <c r="AD179" s="14" t="s">
        <v>35</v>
      </c>
      <c r="AE179" s="29"/>
      <c r="AF179" s="29"/>
      <c r="AG179" s="29"/>
      <c r="AH179" s="29"/>
      <c r="AI179" s="28"/>
      <c r="AJ179" s="3" t="s">
        <v>42</v>
      </c>
      <c r="AK179" s="3" t="s">
        <v>43</v>
      </c>
    </row>
    <row r="180" spans="2:37" hidden="1" x14ac:dyDescent="0.3">
      <c r="B180" s="13"/>
      <c r="C180" s="10">
        <v>150</v>
      </c>
      <c r="D180" s="77" t="s">
        <v>1044</v>
      </c>
      <c r="E180" s="10"/>
      <c r="F180" s="10"/>
      <c r="G180" s="10"/>
      <c r="H180" s="10" t="s">
        <v>119</v>
      </c>
      <c r="I180" s="10" t="s">
        <v>545</v>
      </c>
      <c r="J180" s="10" t="s">
        <v>546</v>
      </c>
      <c r="K180" s="10" t="str">
        <f t="shared" si="6"/>
        <v>S2</v>
      </c>
      <c r="L180" s="26" t="s">
        <v>547</v>
      </c>
      <c r="M180" s="10" t="s">
        <v>40</v>
      </c>
      <c r="N180" s="10" t="s">
        <v>151</v>
      </c>
      <c r="O180" s="10" t="s">
        <v>951</v>
      </c>
      <c r="P180" s="13" t="s">
        <v>33</v>
      </c>
      <c r="Q180" s="10" t="s">
        <v>34</v>
      </c>
      <c r="R180" s="10"/>
      <c r="S180" s="10" t="s">
        <v>548</v>
      </c>
      <c r="T180" s="27"/>
      <c r="U180" s="30">
        <v>1.841880341880342</v>
      </c>
      <c r="V180" s="30">
        <v>0</v>
      </c>
      <c r="W180" s="30">
        <v>0</v>
      </c>
      <c r="X180" s="28"/>
      <c r="Y180" s="9"/>
      <c r="Z180" s="9"/>
      <c r="AA180" s="27"/>
      <c r="AB180" s="29"/>
      <c r="AC180" s="29"/>
      <c r="AD180" s="14" t="s">
        <v>35</v>
      </c>
      <c r="AE180" s="29"/>
      <c r="AF180" s="29"/>
      <c r="AG180" s="29"/>
      <c r="AH180" s="29"/>
      <c r="AI180" s="28"/>
      <c r="AJ180" s="3" t="s">
        <v>42</v>
      </c>
      <c r="AK180" s="3" t="s">
        <v>43</v>
      </c>
    </row>
    <row r="181" spans="2:37" hidden="1" x14ac:dyDescent="0.3">
      <c r="B181" s="13"/>
      <c r="C181" s="10">
        <v>151</v>
      </c>
      <c r="D181" s="77" t="s">
        <v>1044</v>
      </c>
      <c r="E181" s="10"/>
      <c r="F181" s="10"/>
      <c r="G181" s="10"/>
      <c r="H181" s="10" t="s">
        <v>119</v>
      </c>
      <c r="I181" s="51" t="s">
        <v>549</v>
      </c>
      <c r="J181" s="10" t="s">
        <v>550</v>
      </c>
      <c r="K181" s="10" t="str">
        <f t="shared" si="6"/>
        <v>S2</v>
      </c>
      <c r="L181" s="26" t="s">
        <v>165</v>
      </c>
      <c r="M181" s="10" t="s">
        <v>40</v>
      </c>
      <c r="N181" s="10" t="s">
        <v>151</v>
      </c>
      <c r="O181" s="10" t="s">
        <v>951</v>
      </c>
      <c r="P181" s="13" t="s">
        <v>1010</v>
      </c>
      <c r="Q181" s="10" t="s">
        <v>34</v>
      </c>
      <c r="R181" s="10"/>
      <c r="S181" s="10"/>
      <c r="T181" s="27"/>
      <c r="U181" s="30">
        <v>3.6830484330484334</v>
      </c>
      <c r="V181" s="30">
        <v>0</v>
      </c>
      <c r="W181" s="30">
        <v>0</v>
      </c>
      <c r="X181" s="28"/>
      <c r="Y181" s="9"/>
      <c r="Z181" s="9"/>
      <c r="AA181" s="27"/>
      <c r="AB181" s="29"/>
      <c r="AC181" s="29"/>
      <c r="AD181" s="14" t="s">
        <v>35</v>
      </c>
      <c r="AE181" s="29"/>
      <c r="AF181" s="29"/>
      <c r="AG181" s="29"/>
      <c r="AH181" s="29"/>
      <c r="AI181" s="28"/>
      <c r="AJ181" s="3" t="s">
        <v>183</v>
      </c>
      <c r="AK181" s="3" t="s">
        <v>284</v>
      </c>
    </row>
    <row r="182" spans="2:37" ht="52.95" hidden="1" customHeight="1" x14ac:dyDescent="0.3">
      <c r="B182" s="13"/>
      <c r="C182" s="10">
        <v>152</v>
      </c>
      <c r="D182" s="77" t="s">
        <v>1044</v>
      </c>
      <c r="E182" s="10"/>
      <c r="F182" s="10"/>
      <c r="G182" s="10"/>
      <c r="H182" s="10" t="s">
        <v>119</v>
      </c>
      <c r="I182" s="51" t="s">
        <v>551</v>
      </c>
      <c r="J182" s="10" t="s">
        <v>552</v>
      </c>
      <c r="K182" s="10" t="str">
        <f t="shared" si="6"/>
        <v>S2</v>
      </c>
      <c r="L182" s="26" t="s">
        <v>165</v>
      </c>
      <c r="M182" s="10" t="s">
        <v>40</v>
      </c>
      <c r="N182" s="10" t="s">
        <v>151</v>
      </c>
      <c r="O182" s="10" t="s">
        <v>951</v>
      </c>
      <c r="P182" s="13" t="s">
        <v>213</v>
      </c>
      <c r="Q182" s="10" t="s">
        <v>34</v>
      </c>
      <c r="R182" s="10"/>
      <c r="S182" s="10"/>
      <c r="T182" s="27"/>
      <c r="U182" s="30">
        <v>4.6036324786324796</v>
      </c>
      <c r="V182" s="30">
        <v>0</v>
      </c>
      <c r="W182" s="30">
        <v>0</v>
      </c>
      <c r="X182" s="28"/>
      <c r="Y182" s="9"/>
      <c r="Z182" s="9"/>
      <c r="AA182" s="27"/>
      <c r="AB182" s="29"/>
      <c r="AC182" s="29"/>
      <c r="AD182" s="14" t="s">
        <v>35</v>
      </c>
      <c r="AE182" s="29"/>
      <c r="AF182" s="29"/>
      <c r="AG182" s="29"/>
      <c r="AH182" s="29"/>
      <c r="AI182" s="28"/>
      <c r="AJ182" s="3" t="s">
        <v>283</v>
      </c>
    </row>
    <row r="183" spans="2:37" ht="52.95" hidden="1" customHeight="1" x14ac:dyDescent="0.3">
      <c r="B183" s="13"/>
      <c r="C183" s="10">
        <v>153</v>
      </c>
      <c r="D183" s="77" t="s">
        <v>1044</v>
      </c>
      <c r="E183" s="10"/>
      <c r="F183" s="10"/>
      <c r="G183" s="10"/>
      <c r="H183" s="10" t="s">
        <v>119</v>
      </c>
      <c r="I183" s="51" t="s">
        <v>553</v>
      </c>
      <c r="J183" s="10" t="s">
        <v>554</v>
      </c>
      <c r="K183" s="10" t="str">
        <f t="shared" si="6"/>
        <v>S2</v>
      </c>
      <c r="L183" s="26" t="s">
        <v>555</v>
      </c>
      <c r="M183" s="10" t="s">
        <v>40</v>
      </c>
      <c r="N183" s="10" t="s">
        <v>151</v>
      </c>
      <c r="O183" s="10" t="s">
        <v>955</v>
      </c>
      <c r="P183" s="13" t="s">
        <v>33</v>
      </c>
      <c r="Q183" s="10" t="s">
        <v>34</v>
      </c>
      <c r="R183" s="10"/>
      <c r="S183" s="10"/>
      <c r="T183" s="27"/>
      <c r="U183" s="30">
        <v>5.5242165242165244</v>
      </c>
      <c r="V183" s="30">
        <v>0</v>
      </c>
      <c r="W183" s="30">
        <v>0</v>
      </c>
      <c r="X183" s="28"/>
      <c r="Y183" s="9"/>
      <c r="Z183" s="9"/>
      <c r="AA183" s="27"/>
      <c r="AB183" s="14" t="s">
        <v>35</v>
      </c>
      <c r="AC183" s="29"/>
      <c r="AD183" s="14" t="s">
        <v>35</v>
      </c>
      <c r="AE183" s="29"/>
      <c r="AF183" s="29"/>
      <c r="AG183" s="29"/>
      <c r="AH183" s="29"/>
      <c r="AI183" s="28"/>
      <c r="AJ183" s="3" t="s">
        <v>42</v>
      </c>
    </row>
    <row r="184" spans="2:37" hidden="1" x14ac:dyDescent="0.3">
      <c r="B184" s="13"/>
      <c r="C184" s="10">
        <v>154</v>
      </c>
      <c r="D184" s="77" t="s">
        <v>1044</v>
      </c>
      <c r="E184" s="10"/>
      <c r="F184" s="10"/>
      <c r="G184" s="10"/>
      <c r="H184" s="10" t="s">
        <v>119</v>
      </c>
      <c r="I184" s="51" t="s">
        <v>556</v>
      </c>
      <c r="J184" s="10" t="s">
        <v>557</v>
      </c>
      <c r="K184" s="10" t="str">
        <f t="shared" si="6"/>
        <v>S2</v>
      </c>
      <c r="L184" s="26" t="s">
        <v>165</v>
      </c>
      <c r="M184" s="10" t="s">
        <v>40</v>
      </c>
      <c r="N184" s="10" t="s">
        <v>151</v>
      </c>
      <c r="O184" s="10" t="s">
        <v>951</v>
      </c>
      <c r="P184" s="13" t="s">
        <v>33</v>
      </c>
      <c r="Q184" s="10" t="s">
        <v>34</v>
      </c>
      <c r="R184" s="10"/>
      <c r="S184" s="10"/>
      <c r="T184" s="27"/>
      <c r="U184" s="30">
        <v>3.6830484330484334</v>
      </c>
      <c r="V184" s="30">
        <v>0</v>
      </c>
      <c r="W184" s="30">
        <v>0</v>
      </c>
      <c r="X184" s="28"/>
      <c r="Y184" s="9"/>
      <c r="Z184" s="9"/>
      <c r="AA184" s="27"/>
      <c r="AB184" s="29"/>
      <c r="AC184" s="29"/>
      <c r="AD184" s="14" t="s">
        <v>35</v>
      </c>
      <c r="AE184" s="29"/>
      <c r="AF184" s="29"/>
      <c r="AG184" s="29"/>
      <c r="AH184" s="29"/>
      <c r="AI184" s="28"/>
      <c r="AJ184" s="3" t="s">
        <v>35</v>
      </c>
      <c r="AK184" s="3" t="s">
        <v>59</v>
      </c>
    </row>
    <row r="185" spans="2:37" hidden="1" x14ac:dyDescent="0.3">
      <c r="B185" s="13"/>
      <c r="C185" s="10">
        <v>156</v>
      </c>
      <c r="D185" s="77" t="s">
        <v>1044</v>
      </c>
      <c r="E185" s="10"/>
      <c r="F185" s="10"/>
      <c r="G185" s="10"/>
      <c r="H185" s="10" t="s">
        <v>119</v>
      </c>
      <c r="I185" s="10" t="s">
        <v>561</v>
      </c>
      <c r="J185" s="10" t="s">
        <v>562</v>
      </c>
      <c r="K185" s="10" t="str">
        <f t="shared" si="6"/>
        <v>S2</v>
      </c>
      <c r="L185" s="26" t="s">
        <v>165</v>
      </c>
      <c r="M185" s="10" t="s">
        <v>40</v>
      </c>
      <c r="N185" s="10" t="s">
        <v>151</v>
      </c>
      <c r="O185" s="10" t="s">
        <v>951</v>
      </c>
      <c r="P185" s="13" t="s">
        <v>33</v>
      </c>
      <c r="Q185" s="10" t="s">
        <v>34</v>
      </c>
      <c r="R185" s="10"/>
      <c r="S185" s="10"/>
      <c r="T185" s="27"/>
      <c r="U185" s="30">
        <v>5.5242165242165244</v>
      </c>
      <c r="V185" s="30">
        <v>0</v>
      </c>
      <c r="W185" s="30">
        <v>0</v>
      </c>
      <c r="X185" s="28"/>
      <c r="Y185" s="9"/>
      <c r="Z185" s="9"/>
      <c r="AA185" s="27"/>
      <c r="AB185" s="29"/>
      <c r="AC185" s="29"/>
      <c r="AD185" s="14" t="s">
        <v>35</v>
      </c>
      <c r="AE185" s="29"/>
      <c r="AF185" s="29"/>
      <c r="AG185" s="29"/>
      <c r="AH185" s="29"/>
      <c r="AI185" s="28"/>
      <c r="AJ185" s="3" t="s">
        <v>42</v>
      </c>
      <c r="AK185" s="3" t="s">
        <v>641</v>
      </c>
    </row>
    <row r="186" spans="2:37" ht="52.95" hidden="1" customHeight="1" x14ac:dyDescent="0.3">
      <c r="B186" s="13"/>
      <c r="C186" s="10">
        <v>157</v>
      </c>
      <c r="D186" s="77" t="s">
        <v>1044</v>
      </c>
      <c r="E186" s="10"/>
      <c r="F186" s="10"/>
      <c r="G186" s="10"/>
      <c r="H186" s="10" t="s">
        <v>119</v>
      </c>
      <c r="I186" s="51" t="s">
        <v>563</v>
      </c>
      <c r="J186" s="10" t="s">
        <v>564</v>
      </c>
      <c r="K186" s="10" t="str">
        <f t="shared" si="6"/>
        <v>S2</v>
      </c>
      <c r="L186" s="26" t="s">
        <v>565</v>
      </c>
      <c r="M186" s="10" t="s">
        <v>40</v>
      </c>
      <c r="N186" s="10" t="s">
        <v>151</v>
      </c>
      <c r="O186" s="10" t="s">
        <v>955</v>
      </c>
      <c r="P186" s="13" t="s">
        <v>33</v>
      </c>
      <c r="Q186" s="10" t="s">
        <v>34</v>
      </c>
      <c r="R186" s="10"/>
      <c r="S186" s="10"/>
      <c r="T186" s="27"/>
      <c r="U186" s="30">
        <v>28.074786324786327</v>
      </c>
      <c r="V186" s="30">
        <v>0</v>
      </c>
      <c r="W186" s="30">
        <v>0</v>
      </c>
      <c r="X186" s="28"/>
      <c r="Y186" s="9"/>
      <c r="Z186" s="9"/>
      <c r="AA186" s="27"/>
      <c r="AB186" s="14" t="s">
        <v>35</v>
      </c>
      <c r="AC186" s="29"/>
      <c r="AD186" s="14" t="s">
        <v>35</v>
      </c>
      <c r="AE186" s="29"/>
      <c r="AF186" s="29"/>
      <c r="AG186" s="29"/>
      <c r="AH186" s="29"/>
      <c r="AI186" s="28"/>
      <c r="AJ186" s="3" t="s">
        <v>42</v>
      </c>
    </row>
    <row r="187" spans="2:37" hidden="1" x14ac:dyDescent="0.3">
      <c r="B187" s="13"/>
      <c r="C187" s="10">
        <v>37</v>
      </c>
      <c r="D187" s="77" t="s">
        <v>1044</v>
      </c>
      <c r="E187" s="10"/>
      <c r="F187" s="10"/>
      <c r="G187" s="10"/>
      <c r="H187" s="10" t="s">
        <v>119</v>
      </c>
      <c r="I187" s="51" t="s">
        <v>164</v>
      </c>
      <c r="J187" s="10" t="s">
        <v>921</v>
      </c>
      <c r="K187" s="10" t="str">
        <f t="shared" si="6"/>
        <v>S2</v>
      </c>
      <c r="L187" s="26" t="s">
        <v>165</v>
      </c>
      <c r="M187" s="10" t="s">
        <v>40</v>
      </c>
      <c r="N187" s="10" t="s">
        <v>151</v>
      </c>
      <c r="O187" s="10" t="s">
        <v>955</v>
      </c>
      <c r="P187" s="13" t="s">
        <v>33</v>
      </c>
      <c r="Q187" s="10" t="s">
        <v>34</v>
      </c>
      <c r="R187" s="10"/>
      <c r="S187" s="10"/>
      <c r="T187" s="27"/>
      <c r="U187" s="30">
        <v>2.7624643874643873</v>
      </c>
      <c r="V187" s="30">
        <v>0</v>
      </c>
      <c r="W187" s="30">
        <v>0</v>
      </c>
      <c r="X187" s="28"/>
      <c r="Y187" s="9"/>
      <c r="Z187" s="9"/>
      <c r="AA187" s="27"/>
      <c r="AB187" s="14" t="s">
        <v>35</v>
      </c>
      <c r="AC187" s="29"/>
      <c r="AD187" s="14" t="s">
        <v>35</v>
      </c>
      <c r="AE187" s="29"/>
      <c r="AF187" s="29"/>
      <c r="AG187" s="29"/>
      <c r="AH187" s="29"/>
      <c r="AI187" s="28"/>
      <c r="AJ187" s="3" t="s">
        <v>42</v>
      </c>
    </row>
    <row r="188" spans="2:37" hidden="1" x14ac:dyDescent="0.3">
      <c r="B188" s="13"/>
      <c r="C188" s="10">
        <v>158</v>
      </c>
      <c r="D188" s="75" t="s">
        <v>1036</v>
      </c>
      <c r="E188" s="10" t="s">
        <v>1047</v>
      </c>
      <c r="F188" s="10"/>
      <c r="G188" s="10"/>
      <c r="H188" s="10" t="s">
        <v>109</v>
      </c>
      <c r="I188" s="51" t="s">
        <v>566</v>
      </c>
      <c r="J188" s="10" t="s">
        <v>567</v>
      </c>
      <c r="K188" s="10" t="str">
        <f t="shared" si="6"/>
        <v>S2</v>
      </c>
      <c r="L188" s="26" t="s">
        <v>568</v>
      </c>
      <c r="M188" s="10" t="s">
        <v>40</v>
      </c>
      <c r="N188" s="10" t="s">
        <v>151</v>
      </c>
      <c r="O188" s="10" t="s">
        <v>971</v>
      </c>
      <c r="P188" s="13" t="s">
        <v>33</v>
      </c>
      <c r="Q188" s="10" t="s">
        <v>34</v>
      </c>
      <c r="R188" s="10"/>
      <c r="S188" s="10"/>
      <c r="T188" s="27"/>
      <c r="U188" s="30">
        <v>3.6830484330484334</v>
      </c>
      <c r="V188" s="30">
        <v>4.1421538856886153</v>
      </c>
      <c r="W188" s="30">
        <v>0</v>
      </c>
      <c r="X188" s="28"/>
      <c r="Y188" s="9"/>
      <c r="Z188" s="9"/>
      <c r="AA188" s="27"/>
      <c r="AB188" s="14" t="s">
        <v>35</v>
      </c>
      <c r="AC188" s="14" t="s">
        <v>35</v>
      </c>
      <c r="AD188" s="14" t="s">
        <v>35</v>
      </c>
      <c r="AE188" s="14" t="s">
        <v>35</v>
      </c>
      <c r="AF188" s="29"/>
      <c r="AG188" s="29"/>
      <c r="AH188" s="29"/>
      <c r="AI188" s="28"/>
      <c r="AJ188" s="3" t="s">
        <v>183</v>
      </c>
      <c r="AK188" s="3" t="s">
        <v>284</v>
      </c>
    </row>
    <row r="189" spans="2:37" hidden="1" x14ac:dyDescent="0.3">
      <c r="B189" s="13"/>
      <c r="C189" s="10">
        <v>217</v>
      </c>
      <c r="D189" s="75" t="s">
        <v>1036</v>
      </c>
      <c r="E189" s="10" t="s">
        <v>1047</v>
      </c>
      <c r="F189" s="10"/>
      <c r="G189" s="10"/>
      <c r="H189" s="10" t="s">
        <v>109</v>
      </c>
      <c r="I189" s="51" t="s">
        <v>734</v>
      </c>
      <c r="J189" s="10" t="s">
        <v>735</v>
      </c>
      <c r="K189" s="10" t="str">
        <f t="shared" si="6"/>
        <v>S4</v>
      </c>
      <c r="L189" s="26" t="s">
        <v>736</v>
      </c>
      <c r="M189" s="10" t="s">
        <v>40</v>
      </c>
      <c r="N189" s="10" t="s">
        <v>151</v>
      </c>
      <c r="O189" s="10" t="s">
        <v>968</v>
      </c>
      <c r="P189" s="13" t="s">
        <v>33</v>
      </c>
      <c r="Q189" s="10" t="s">
        <v>34</v>
      </c>
      <c r="R189" s="10"/>
      <c r="S189" s="10"/>
      <c r="T189" s="27"/>
      <c r="U189" s="30">
        <v>3.6830484330484334</v>
      </c>
      <c r="V189" s="30">
        <v>4.1421538856886153</v>
      </c>
      <c r="W189" s="30">
        <v>0</v>
      </c>
      <c r="X189" s="28"/>
      <c r="Y189" s="9"/>
      <c r="Z189" s="9"/>
      <c r="AA189" s="27"/>
      <c r="AB189" s="29"/>
      <c r="AC189" s="14" t="s">
        <v>35</v>
      </c>
      <c r="AD189" s="14" t="s">
        <v>35</v>
      </c>
      <c r="AE189" s="14" t="s">
        <v>35</v>
      </c>
      <c r="AF189" s="29"/>
      <c r="AG189" s="29"/>
      <c r="AH189" s="29"/>
      <c r="AI189" s="28"/>
      <c r="AJ189" s="3" t="s">
        <v>183</v>
      </c>
      <c r="AK189" s="3" t="s">
        <v>284</v>
      </c>
    </row>
    <row r="190" spans="2:37" hidden="1" x14ac:dyDescent="0.3">
      <c r="B190" s="13"/>
      <c r="C190" s="10">
        <v>218</v>
      </c>
      <c r="D190" s="75" t="s">
        <v>1036</v>
      </c>
      <c r="E190" s="10" t="s">
        <v>1047</v>
      </c>
      <c r="F190" s="10"/>
      <c r="G190" s="10"/>
      <c r="H190" s="10" t="s">
        <v>109</v>
      </c>
      <c r="I190" s="51" t="s">
        <v>737</v>
      </c>
      <c r="J190" s="10" t="s">
        <v>738</v>
      </c>
      <c r="K190" s="10" t="str">
        <f t="shared" si="6"/>
        <v>S4</v>
      </c>
      <c r="L190" s="26" t="s">
        <v>739</v>
      </c>
      <c r="M190" s="10" t="s">
        <v>40</v>
      </c>
      <c r="N190" s="10" t="s">
        <v>151</v>
      </c>
      <c r="O190" s="10" t="s">
        <v>971</v>
      </c>
      <c r="P190" s="13" t="s">
        <v>33</v>
      </c>
      <c r="Q190" s="10" t="s">
        <v>34</v>
      </c>
      <c r="R190" s="10"/>
      <c r="S190" s="10"/>
      <c r="T190" s="27"/>
      <c r="U190" s="30">
        <v>3.6830484330484334</v>
      </c>
      <c r="V190" s="30">
        <v>4.1421538856886153</v>
      </c>
      <c r="W190" s="30">
        <v>0</v>
      </c>
      <c r="X190" s="28"/>
      <c r="Y190" s="9"/>
      <c r="Z190" s="9"/>
      <c r="AA190" s="27"/>
      <c r="AB190" s="14" t="s">
        <v>35</v>
      </c>
      <c r="AC190" s="14" t="s">
        <v>35</v>
      </c>
      <c r="AD190" s="14" t="s">
        <v>35</v>
      </c>
      <c r="AE190" s="14" t="s">
        <v>35</v>
      </c>
      <c r="AF190" s="29"/>
      <c r="AG190" s="29"/>
      <c r="AH190" s="29"/>
      <c r="AI190" s="28"/>
      <c r="AJ190" s="3" t="s">
        <v>42</v>
      </c>
      <c r="AK190" s="3" t="s">
        <v>43</v>
      </c>
    </row>
    <row r="191" spans="2:37" hidden="1" x14ac:dyDescent="0.3">
      <c r="B191" s="13"/>
      <c r="C191" s="10">
        <v>219</v>
      </c>
      <c r="D191" s="75" t="s">
        <v>1036</v>
      </c>
      <c r="E191" s="10" t="s">
        <v>1047</v>
      </c>
      <c r="F191" s="10"/>
      <c r="G191" s="10"/>
      <c r="H191" s="10" t="s">
        <v>109</v>
      </c>
      <c r="I191" s="51" t="s">
        <v>740</v>
      </c>
      <c r="J191" s="10" t="s">
        <v>741</v>
      </c>
      <c r="K191" s="10" t="str">
        <f t="shared" ref="K191:K222" si="7">+LEFT(J191,2)</f>
        <v>S2</v>
      </c>
      <c r="L191" s="26" t="s">
        <v>742</v>
      </c>
      <c r="M191" s="10" t="s">
        <v>40</v>
      </c>
      <c r="N191" s="10" t="s">
        <v>151</v>
      </c>
      <c r="O191" s="10" t="s">
        <v>971</v>
      </c>
      <c r="P191" s="13" t="s">
        <v>33</v>
      </c>
      <c r="Q191" s="10" t="s">
        <v>34</v>
      </c>
      <c r="R191" s="10"/>
      <c r="S191" s="10" t="s">
        <v>743</v>
      </c>
      <c r="T191" s="27"/>
      <c r="U191" s="30">
        <v>3.6830484330484334</v>
      </c>
      <c r="V191" s="30">
        <v>4.1421538856886153</v>
      </c>
      <c r="W191" s="30">
        <v>0</v>
      </c>
      <c r="X191" s="28"/>
      <c r="Y191" s="9"/>
      <c r="Z191" s="9"/>
      <c r="AA191" s="27"/>
      <c r="AB191" s="14" t="s">
        <v>35</v>
      </c>
      <c r="AC191" s="14" t="s">
        <v>35</v>
      </c>
      <c r="AD191" s="14" t="s">
        <v>35</v>
      </c>
      <c r="AE191" s="14" t="s">
        <v>35</v>
      </c>
      <c r="AF191" s="29"/>
      <c r="AG191" s="29"/>
      <c r="AH191" s="29"/>
      <c r="AI191" s="28"/>
      <c r="AJ191" s="3" t="s">
        <v>42</v>
      </c>
      <c r="AK191" s="3" t="s">
        <v>43</v>
      </c>
    </row>
    <row r="192" spans="2:37" hidden="1" x14ac:dyDescent="0.3">
      <c r="B192" s="13"/>
      <c r="C192" s="10">
        <v>220</v>
      </c>
      <c r="D192" s="75" t="s">
        <v>1036</v>
      </c>
      <c r="E192" s="10" t="s">
        <v>1047</v>
      </c>
      <c r="F192" s="10"/>
      <c r="G192" s="10"/>
      <c r="H192" s="10" t="s">
        <v>109</v>
      </c>
      <c r="I192" s="51" t="s">
        <v>744</v>
      </c>
      <c r="J192" s="10" t="s">
        <v>745</v>
      </c>
      <c r="K192" s="10" t="str">
        <f t="shared" si="7"/>
        <v>S4</v>
      </c>
      <c r="L192" s="26" t="s">
        <v>746</v>
      </c>
      <c r="M192" s="10" t="s">
        <v>40</v>
      </c>
      <c r="N192" s="10" t="s">
        <v>151</v>
      </c>
      <c r="O192" s="10" t="s">
        <v>968</v>
      </c>
      <c r="P192" s="13" t="s">
        <v>33</v>
      </c>
      <c r="Q192" s="10" t="s">
        <v>34</v>
      </c>
      <c r="R192" s="10"/>
      <c r="S192" s="10"/>
      <c r="T192" s="27"/>
      <c r="U192" s="30">
        <v>3.6830484330484334</v>
      </c>
      <c r="V192" s="30">
        <v>4.1421538856886153</v>
      </c>
      <c r="W192" s="30">
        <v>0</v>
      </c>
      <c r="X192" s="28"/>
      <c r="Y192" s="9"/>
      <c r="Z192" s="9"/>
      <c r="AA192" s="27"/>
      <c r="AB192" s="29"/>
      <c r="AC192" s="14" t="s">
        <v>35</v>
      </c>
      <c r="AD192" s="14" t="s">
        <v>35</v>
      </c>
      <c r="AE192" s="14" t="s">
        <v>35</v>
      </c>
      <c r="AF192" s="29"/>
      <c r="AG192" s="29"/>
      <c r="AH192" s="29"/>
      <c r="AI192" s="28"/>
      <c r="AJ192" s="3" t="s">
        <v>42</v>
      </c>
      <c r="AK192" s="3" t="s">
        <v>43</v>
      </c>
    </row>
    <row r="193" spans="2:37" hidden="1" x14ac:dyDescent="0.3">
      <c r="B193" s="13"/>
      <c r="C193" s="10">
        <v>221</v>
      </c>
      <c r="D193" s="75" t="s">
        <v>1036</v>
      </c>
      <c r="E193" s="10" t="s">
        <v>1047</v>
      </c>
      <c r="F193" s="10"/>
      <c r="G193" s="10"/>
      <c r="H193" s="10" t="s">
        <v>109</v>
      </c>
      <c r="I193" s="51" t="s">
        <v>747</v>
      </c>
      <c r="J193" s="10" t="s">
        <v>748</v>
      </c>
      <c r="K193" s="10" t="str">
        <f t="shared" si="7"/>
        <v>S4</v>
      </c>
      <c r="L193" s="26" t="s">
        <v>749</v>
      </c>
      <c r="M193" s="10" t="s">
        <v>40</v>
      </c>
      <c r="N193" s="10" t="s">
        <v>151</v>
      </c>
      <c r="O193" s="10" t="s">
        <v>968</v>
      </c>
      <c r="P193" s="13" t="s">
        <v>33</v>
      </c>
      <c r="Q193" s="10" t="s">
        <v>34</v>
      </c>
      <c r="R193" s="10"/>
      <c r="S193" s="10"/>
      <c r="T193" s="27"/>
      <c r="U193" s="30">
        <v>3.6830484330484334</v>
      </c>
      <c r="V193" s="30">
        <v>4.1421538856886153</v>
      </c>
      <c r="W193" s="30">
        <v>0</v>
      </c>
      <c r="X193" s="28"/>
      <c r="Y193" s="9"/>
      <c r="Z193" s="9"/>
      <c r="AA193" s="27"/>
      <c r="AB193" s="29"/>
      <c r="AC193" s="14" t="s">
        <v>35</v>
      </c>
      <c r="AD193" s="14" t="s">
        <v>35</v>
      </c>
      <c r="AE193" s="14" t="s">
        <v>35</v>
      </c>
      <c r="AF193" s="29"/>
      <c r="AG193" s="29"/>
      <c r="AH193" s="29"/>
      <c r="AI193" s="28"/>
      <c r="AJ193" s="3" t="s">
        <v>42</v>
      </c>
      <c r="AK193" s="3" t="s">
        <v>43</v>
      </c>
    </row>
    <row r="194" spans="2:37" hidden="1" x14ac:dyDescent="0.3">
      <c r="B194" s="13"/>
      <c r="C194" s="10">
        <v>222</v>
      </c>
      <c r="D194" s="75" t="s">
        <v>1036</v>
      </c>
      <c r="E194" s="10" t="s">
        <v>1047</v>
      </c>
      <c r="F194" s="10"/>
      <c r="G194" s="10"/>
      <c r="H194" s="10" t="s">
        <v>109</v>
      </c>
      <c r="I194" s="51" t="s">
        <v>750</v>
      </c>
      <c r="J194" s="10" t="s">
        <v>751</v>
      </c>
      <c r="K194" s="10" t="str">
        <f t="shared" si="7"/>
        <v>S4</v>
      </c>
      <c r="L194" s="26" t="s">
        <v>752</v>
      </c>
      <c r="M194" s="10" t="s">
        <v>40</v>
      </c>
      <c r="N194" s="10" t="s">
        <v>151</v>
      </c>
      <c r="O194" s="10" t="s">
        <v>968</v>
      </c>
      <c r="P194" s="13" t="s">
        <v>33</v>
      </c>
      <c r="Q194" s="10" t="s">
        <v>34</v>
      </c>
      <c r="R194" s="10"/>
      <c r="S194" s="10"/>
      <c r="T194" s="27"/>
      <c r="U194" s="30">
        <v>3.6830484330484334</v>
      </c>
      <c r="V194" s="30">
        <v>4.1421538856886153</v>
      </c>
      <c r="W194" s="30">
        <v>0</v>
      </c>
      <c r="X194" s="28"/>
      <c r="Y194" s="9"/>
      <c r="Z194" s="9"/>
      <c r="AA194" s="27"/>
      <c r="AB194" s="29"/>
      <c r="AC194" s="14" t="s">
        <v>35</v>
      </c>
      <c r="AD194" s="14" t="s">
        <v>35</v>
      </c>
      <c r="AE194" s="14" t="s">
        <v>35</v>
      </c>
      <c r="AF194" s="29"/>
      <c r="AG194" s="29"/>
      <c r="AH194" s="29"/>
      <c r="AI194" s="28"/>
      <c r="AJ194" s="3" t="s">
        <v>42</v>
      </c>
      <c r="AK194" s="3" t="s">
        <v>43</v>
      </c>
    </row>
    <row r="195" spans="2:37" hidden="1" x14ac:dyDescent="0.3">
      <c r="B195" s="13"/>
      <c r="C195" s="10">
        <v>223</v>
      </c>
      <c r="D195" s="75" t="s">
        <v>1036</v>
      </c>
      <c r="E195" s="10" t="s">
        <v>1047</v>
      </c>
      <c r="F195" s="10"/>
      <c r="G195" s="10"/>
      <c r="H195" s="10" t="s">
        <v>109</v>
      </c>
      <c r="I195" s="51" t="s">
        <v>753</v>
      </c>
      <c r="J195" s="10" t="s">
        <v>754</v>
      </c>
      <c r="K195" s="10" t="str">
        <f t="shared" si="7"/>
        <v>S4</v>
      </c>
      <c r="L195" s="26" t="s">
        <v>755</v>
      </c>
      <c r="M195" s="10" t="s">
        <v>40</v>
      </c>
      <c r="N195" s="10" t="s">
        <v>151</v>
      </c>
      <c r="O195" s="10" t="s">
        <v>968</v>
      </c>
      <c r="P195" s="13" t="s">
        <v>33</v>
      </c>
      <c r="Q195" s="10" t="s">
        <v>34</v>
      </c>
      <c r="R195" s="10"/>
      <c r="S195" s="10"/>
      <c r="T195" s="27"/>
      <c r="U195" s="30">
        <v>3.6830484330484334</v>
      </c>
      <c r="V195" s="30">
        <v>4.1421538856886153</v>
      </c>
      <c r="W195" s="30">
        <v>0</v>
      </c>
      <c r="X195" s="28"/>
      <c r="Y195" s="9"/>
      <c r="Z195" s="9"/>
      <c r="AA195" s="27"/>
      <c r="AB195" s="29"/>
      <c r="AC195" s="14" t="s">
        <v>35</v>
      </c>
      <c r="AD195" s="14" t="s">
        <v>35</v>
      </c>
      <c r="AE195" s="14" t="s">
        <v>35</v>
      </c>
      <c r="AF195" s="29"/>
      <c r="AG195" s="29"/>
      <c r="AH195" s="29"/>
      <c r="AI195" s="28"/>
      <c r="AJ195" s="3" t="s">
        <v>42</v>
      </c>
      <c r="AK195" s="3" t="s">
        <v>43</v>
      </c>
    </row>
    <row r="196" spans="2:37" hidden="1" x14ac:dyDescent="0.3">
      <c r="B196" s="13"/>
      <c r="C196" s="10">
        <v>54</v>
      </c>
      <c r="D196" s="77" t="s">
        <v>1044</v>
      </c>
      <c r="E196" s="10"/>
      <c r="F196" s="10"/>
      <c r="G196" s="10"/>
      <c r="H196" s="10" t="s">
        <v>119</v>
      </c>
      <c r="I196" s="51" t="s">
        <v>230</v>
      </c>
      <c r="J196" s="10" t="s">
        <v>231</v>
      </c>
      <c r="K196" s="10" t="str">
        <f t="shared" si="7"/>
        <v>S1</v>
      </c>
      <c r="L196" s="26" t="s">
        <v>232</v>
      </c>
      <c r="M196" s="10" t="s">
        <v>40</v>
      </c>
      <c r="N196" s="10" t="s">
        <v>41</v>
      </c>
      <c r="O196" s="10" t="s">
        <v>952</v>
      </c>
      <c r="P196" s="13" t="s">
        <v>33</v>
      </c>
      <c r="Q196" s="10" t="s">
        <v>34</v>
      </c>
      <c r="R196" s="10"/>
      <c r="S196" s="10"/>
      <c r="T196" s="27"/>
      <c r="U196" s="30">
        <v>11.50854700854701</v>
      </c>
      <c r="V196" s="30">
        <v>0</v>
      </c>
      <c r="W196" s="30">
        <v>0</v>
      </c>
      <c r="X196" s="28"/>
      <c r="Y196" s="9"/>
      <c r="Z196" s="9"/>
      <c r="AA196" s="27"/>
      <c r="AB196" s="14" t="s">
        <v>35</v>
      </c>
      <c r="AC196" s="14" t="s">
        <v>35</v>
      </c>
      <c r="AD196" s="14" t="s">
        <v>35</v>
      </c>
      <c r="AE196" s="29"/>
      <c r="AF196" s="29"/>
      <c r="AG196" s="29"/>
      <c r="AH196" s="29"/>
      <c r="AI196" s="28"/>
      <c r="AJ196" s="3" t="s">
        <v>42</v>
      </c>
      <c r="AK196" s="3" t="s">
        <v>43</v>
      </c>
    </row>
    <row r="197" spans="2:37" hidden="1" x14ac:dyDescent="0.3">
      <c r="B197" s="13"/>
      <c r="C197" s="10">
        <v>168</v>
      </c>
      <c r="D197" s="77" t="s">
        <v>1044</v>
      </c>
      <c r="E197" s="10"/>
      <c r="F197" s="10"/>
      <c r="G197" s="10"/>
      <c r="H197" s="10" t="s">
        <v>119</v>
      </c>
      <c r="I197" s="51" t="s">
        <v>598</v>
      </c>
      <c r="J197" s="10" t="s">
        <v>599</v>
      </c>
      <c r="K197" s="10" t="str">
        <f t="shared" si="7"/>
        <v>S2</v>
      </c>
      <c r="L197" s="26" t="s">
        <v>600</v>
      </c>
      <c r="M197" s="10" t="s">
        <v>40</v>
      </c>
      <c r="N197" s="10" t="s">
        <v>40</v>
      </c>
      <c r="O197" s="10" t="s">
        <v>955</v>
      </c>
      <c r="P197" s="13" t="s">
        <v>33</v>
      </c>
      <c r="Q197" s="10" t="s">
        <v>34</v>
      </c>
      <c r="R197" s="10"/>
      <c r="S197" s="10"/>
      <c r="T197" s="27"/>
      <c r="U197" s="30">
        <v>14.730769230769232</v>
      </c>
      <c r="V197" s="30">
        <v>0</v>
      </c>
      <c r="W197" s="30">
        <v>0</v>
      </c>
      <c r="X197" s="28"/>
      <c r="Y197" s="9"/>
      <c r="Z197" s="9"/>
      <c r="AA197" s="27"/>
      <c r="AB197" s="14" t="s">
        <v>35</v>
      </c>
      <c r="AC197" s="29"/>
      <c r="AD197" s="14" t="s">
        <v>35</v>
      </c>
      <c r="AE197" s="29"/>
      <c r="AF197" s="29"/>
      <c r="AG197" s="29"/>
      <c r="AH197" s="29"/>
      <c r="AI197" s="28"/>
      <c r="AJ197" s="3" t="s">
        <v>183</v>
      </c>
      <c r="AK197" s="3" t="s">
        <v>284</v>
      </c>
    </row>
    <row r="198" spans="2:37" hidden="1" x14ac:dyDescent="0.3">
      <c r="B198" s="13"/>
      <c r="C198" s="10">
        <v>58</v>
      </c>
      <c r="D198" s="77" t="s">
        <v>1044</v>
      </c>
      <c r="E198" s="10"/>
      <c r="F198" s="10"/>
      <c r="G198" s="10"/>
      <c r="H198" s="10" t="s">
        <v>119</v>
      </c>
      <c r="I198" s="51" t="s">
        <v>242</v>
      </c>
      <c r="J198" s="10" t="s">
        <v>243</v>
      </c>
      <c r="K198" s="10" t="str">
        <f t="shared" si="7"/>
        <v>S1</v>
      </c>
      <c r="L198" s="26" t="s">
        <v>244</v>
      </c>
      <c r="M198" s="10" t="s">
        <v>40</v>
      </c>
      <c r="N198" s="10" t="s">
        <v>41</v>
      </c>
      <c r="O198" s="10" t="s">
        <v>948</v>
      </c>
      <c r="P198" s="13" t="s">
        <v>33</v>
      </c>
      <c r="Q198" s="10" t="s">
        <v>34</v>
      </c>
      <c r="R198" s="10"/>
      <c r="S198" s="10"/>
      <c r="T198" s="27"/>
      <c r="U198" s="30">
        <v>8.2863247863247871</v>
      </c>
      <c r="V198" s="30">
        <v>0</v>
      </c>
      <c r="W198" s="30">
        <v>0</v>
      </c>
      <c r="X198" s="28"/>
      <c r="Y198" s="9"/>
      <c r="Z198" s="9"/>
      <c r="AA198" s="27"/>
      <c r="AB198" s="29"/>
      <c r="AC198" s="14" t="s">
        <v>35</v>
      </c>
      <c r="AD198" s="14" t="s">
        <v>35</v>
      </c>
      <c r="AE198" s="29"/>
      <c r="AF198" s="29"/>
      <c r="AG198" s="29"/>
      <c r="AH198" s="29"/>
      <c r="AI198" s="28"/>
      <c r="AJ198" s="3" t="s">
        <v>183</v>
      </c>
      <c r="AK198" s="3" t="s">
        <v>284</v>
      </c>
    </row>
    <row r="199" spans="2:37" hidden="1" x14ac:dyDescent="0.3">
      <c r="B199" s="13"/>
      <c r="C199" s="10">
        <v>173</v>
      </c>
      <c r="D199" s="77" t="s">
        <v>1044</v>
      </c>
      <c r="E199" s="10"/>
      <c r="F199" s="10"/>
      <c r="G199" s="10"/>
      <c r="H199" s="10" t="s">
        <v>119</v>
      </c>
      <c r="I199" s="51" t="s">
        <v>613</v>
      </c>
      <c r="J199" s="10" t="s">
        <v>614</v>
      </c>
      <c r="K199" s="10" t="str">
        <f t="shared" si="7"/>
        <v>S2</v>
      </c>
      <c r="L199" s="26" t="s">
        <v>244</v>
      </c>
      <c r="M199" s="10" t="s">
        <v>40</v>
      </c>
      <c r="N199" s="10" t="s">
        <v>41</v>
      </c>
      <c r="O199" s="10" t="s">
        <v>951</v>
      </c>
      <c r="P199" s="13" t="s">
        <v>33</v>
      </c>
      <c r="Q199" s="10" t="s">
        <v>34</v>
      </c>
      <c r="R199" s="10"/>
      <c r="S199" s="10"/>
      <c r="T199" s="27"/>
      <c r="U199" s="30">
        <v>3.6826923076923079</v>
      </c>
      <c r="V199" s="30">
        <v>0</v>
      </c>
      <c r="W199" s="30">
        <v>0</v>
      </c>
      <c r="X199" s="28"/>
      <c r="Y199" s="9"/>
      <c r="Z199" s="9"/>
      <c r="AA199" s="27"/>
      <c r="AB199" s="29"/>
      <c r="AC199" s="29"/>
      <c r="AD199" s="14" t="s">
        <v>35</v>
      </c>
      <c r="AE199" s="29"/>
      <c r="AF199" s="29"/>
      <c r="AG199" s="29"/>
      <c r="AH199" s="29"/>
      <c r="AI199" s="28"/>
      <c r="AJ199" s="3" t="s">
        <v>183</v>
      </c>
      <c r="AK199" s="3" t="s">
        <v>284</v>
      </c>
    </row>
    <row r="200" spans="2:37" hidden="1" x14ac:dyDescent="0.3">
      <c r="B200" s="13"/>
      <c r="C200" s="10">
        <v>208</v>
      </c>
      <c r="D200" s="75" t="s">
        <v>1036</v>
      </c>
      <c r="E200" s="10" t="s">
        <v>1047</v>
      </c>
      <c r="F200" s="10"/>
      <c r="G200" s="10"/>
      <c r="H200" s="10" t="s">
        <v>109</v>
      </c>
      <c r="I200" s="51" t="s">
        <v>707</v>
      </c>
      <c r="J200" s="10" t="s">
        <v>708</v>
      </c>
      <c r="K200" s="10" t="str">
        <f t="shared" si="7"/>
        <v>S3</v>
      </c>
      <c r="L200" s="26" t="s">
        <v>232</v>
      </c>
      <c r="M200" s="10" t="s">
        <v>40</v>
      </c>
      <c r="N200" s="10" t="s">
        <v>41</v>
      </c>
      <c r="O200" s="10" t="s">
        <v>951</v>
      </c>
      <c r="P200" s="13" t="s">
        <v>213</v>
      </c>
      <c r="Q200" s="10" t="s">
        <v>34</v>
      </c>
      <c r="R200" s="10"/>
      <c r="S200" s="10"/>
      <c r="T200" s="27"/>
      <c r="U200" s="30">
        <v>4.6032763532763532</v>
      </c>
      <c r="V200" s="30">
        <v>0</v>
      </c>
      <c r="W200" s="30">
        <v>0</v>
      </c>
      <c r="X200" s="28"/>
      <c r="Y200" s="9"/>
      <c r="Z200" s="9"/>
      <c r="AA200" s="27"/>
      <c r="AB200" s="29"/>
      <c r="AC200" s="29"/>
      <c r="AD200" s="14" t="s">
        <v>35</v>
      </c>
      <c r="AE200" s="29"/>
      <c r="AF200" s="29"/>
      <c r="AG200" s="29"/>
      <c r="AH200" s="29"/>
      <c r="AI200" s="28"/>
      <c r="AJ200" s="3" t="s">
        <v>183</v>
      </c>
      <c r="AK200" s="3" t="s">
        <v>284</v>
      </c>
    </row>
    <row r="201" spans="2:37" hidden="1" x14ac:dyDescent="0.3">
      <c r="B201" s="13"/>
      <c r="C201" s="10">
        <v>174</v>
      </c>
      <c r="D201" s="77" t="s">
        <v>1044</v>
      </c>
      <c r="E201" s="10"/>
      <c r="F201" s="10"/>
      <c r="G201" s="10"/>
      <c r="H201" s="10" t="s">
        <v>119</v>
      </c>
      <c r="I201" s="51" t="s">
        <v>615</v>
      </c>
      <c r="J201" s="10" t="s">
        <v>616</v>
      </c>
      <c r="K201" s="10" t="str">
        <f t="shared" si="7"/>
        <v>S2</v>
      </c>
      <c r="L201" s="26" t="s">
        <v>244</v>
      </c>
      <c r="M201" s="10" t="s">
        <v>40</v>
      </c>
      <c r="N201" s="10" t="s">
        <v>41</v>
      </c>
      <c r="O201" s="10" t="s">
        <v>951</v>
      </c>
      <c r="P201" s="13" t="s">
        <v>33</v>
      </c>
      <c r="Q201" s="10" t="s">
        <v>34</v>
      </c>
      <c r="R201" s="10"/>
      <c r="S201" s="35" t="s">
        <v>617</v>
      </c>
      <c r="T201" s="27"/>
      <c r="U201" s="30">
        <v>3.6826923076923079</v>
      </c>
      <c r="V201" s="30">
        <v>0</v>
      </c>
      <c r="W201" s="30">
        <v>0</v>
      </c>
      <c r="X201" s="28"/>
      <c r="Y201" s="9"/>
      <c r="Z201" s="9"/>
      <c r="AA201" s="27"/>
      <c r="AB201" s="29"/>
      <c r="AC201" s="29"/>
      <c r="AD201" s="14" t="s">
        <v>35</v>
      </c>
      <c r="AE201" s="29"/>
      <c r="AF201" s="29"/>
      <c r="AG201" s="29"/>
      <c r="AH201" s="29"/>
      <c r="AI201" s="28"/>
      <c r="AJ201" s="3" t="s">
        <v>42</v>
      </c>
      <c r="AK201" s="3" t="s">
        <v>43</v>
      </c>
    </row>
    <row r="202" spans="2:37" hidden="1" x14ac:dyDescent="0.3">
      <c r="B202" s="13"/>
      <c r="C202" s="10">
        <v>175</v>
      </c>
      <c r="D202" s="77" t="s">
        <v>1044</v>
      </c>
      <c r="E202" s="10"/>
      <c r="F202" s="10"/>
      <c r="G202" s="10"/>
      <c r="H202" s="10" t="s">
        <v>119</v>
      </c>
      <c r="I202" s="51" t="s">
        <v>618</v>
      </c>
      <c r="J202" s="10" t="s">
        <v>619</v>
      </c>
      <c r="K202" s="10" t="str">
        <f t="shared" si="7"/>
        <v>S2</v>
      </c>
      <c r="L202" s="26" t="s">
        <v>244</v>
      </c>
      <c r="M202" s="10" t="s">
        <v>40</v>
      </c>
      <c r="N202" s="10" t="s">
        <v>41</v>
      </c>
      <c r="O202" s="10" t="s">
        <v>951</v>
      </c>
      <c r="P202" s="13" t="s">
        <v>33</v>
      </c>
      <c r="Q202" s="10" t="s">
        <v>34</v>
      </c>
      <c r="R202" s="10"/>
      <c r="S202" s="35" t="s">
        <v>620</v>
      </c>
      <c r="T202" s="27"/>
      <c r="U202" s="30">
        <v>3.6826923076923079</v>
      </c>
      <c r="V202" s="30">
        <v>0</v>
      </c>
      <c r="W202" s="30">
        <v>0</v>
      </c>
      <c r="X202" s="28"/>
      <c r="Y202" s="9"/>
      <c r="Z202" s="9"/>
      <c r="AA202" s="27"/>
      <c r="AB202" s="29"/>
      <c r="AC202" s="29"/>
      <c r="AD202" s="14" t="s">
        <v>35</v>
      </c>
      <c r="AE202" s="29"/>
      <c r="AF202" s="29"/>
      <c r="AG202" s="29"/>
      <c r="AH202" s="29"/>
      <c r="AI202" s="28"/>
      <c r="AJ202" s="3" t="s">
        <v>183</v>
      </c>
      <c r="AK202" s="3" t="s">
        <v>284</v>
      </c>
    </row>
    <row r="203" spans="2:37" hidden="1" x14ac:dyDescent="0.3">
      <c r="B203" s="13"/>
      <c r="C203" s="10">
        <v>69</v>
      </c>
      <c r="D203" s="77" t="s">
        <v>1044</v>
      </c>
      <c r="E203" s="10"/>
      <c r="F203" s="10"/>
      <c r="G203" s="10"/>
      <c r="H203" s="10" t="s">
        <v>119</v>
      </c>
      <c r="I203" s="51" t="s">
        <v>280</v>
      </c>
      <c r="J203" s="10" t="s">
        <v>281</v>
      </c>
      <c r="K203" s="10" t="str">
        <f t="shared" si="7"/>
        <v>S1</v>
      </c>
      <c r="L203" s="26" t="s">
        <v>282</v>
      </c>
      <c r="M203" s="10" t="s">
        <v>40</v>
      </c>
      <c r="N203" s="10" t="s">
        <v>41</v>
      </c>
      <c r="O203" s="10" t="s">
        <v>948</v>
      </c>
      <c r="P203" s="13" t="s">
        <v>33</v>
      </c>
      <c r="Q203" s="10" t="s">
        <v>34</v>
      </c>
      <c r="R203" s="10"/>
      <c r="S203" s="10"/>
      <c r="T203" s="27"/>
      <c r="U203" s="30">
        <v>0</v>
      </c>
      <c r="V203" s="30">
        <v>0</v>
      </c>
      <c r="W203" s="30">
        <v>0</v>
      </c>
      <c r="X203" s="28"/>
      <c r="Y203" s="9"/>
      <c r="Z203" s="9"/>
      <c r="AA203" s="27"/>
      <c r="AB203" s="29"/>
      <c r="AC203" s="14" t="s">
        <v>35</v>
      </c>
      <c r="AD203" s="14" t="s">
        <v>35</v>
      </c>
      <c r="AE203" s="29"/>
      <c r="AF203" s="29"/>
      <c r="AG203" s="29"/>
      <c r="AH203" s="29"/>
      <c r="AI203" s="28"/>
      <c r="AJ203" s="3" t="s">
        <v>42</v>
      </c>
      <c r="AK203" s="3" t="s">
        <v>43</v>
      </c>
    </row>
    <row r="204" spans="2:37" hidden="1" x14ac:dyDescent="0.3">
      <c r="B204" s="13"/>
      <c r="C204" s="10">
        <v>70</v>
      </c>
      <c r="D204" s="77" t="s">
        <v>1044</v>
      </c>
      <c r="E204" s="10"/>
      <c r="F204" s="10"/>
      <c r="G204" s="10"/>
      <c r="H204" s="10" t="s">
        <v>119</v>
      </c>
      <c r="I204" s="51" t="s">
        <v>285</v>
      </c>
      <c r="J204" s="10" t="s">
        <v>286</v>
      </c>
      <c r="K204" s="10" t="str">
        <f t="shared" si="7"/>
        <v>S1</v>
      </c>
      <c r="L204" s="26" t="s">
        <v>232</v>
      </c>
      <c r="M204" s="10" t="s">
        <v>40</v>
      </c>
      <c r="N204" s="10" t="s">
        <v>41</v>
      </c>
      <c r="O204" s="10" t="s">
        <v>948</v>
      </c>
      <c r="P204" s="13" t="s">
        <v>33</v>
      </c>
      <c r="Q204" s="10" t="s">
        <v>34</v>
      </c>
      <c r="R204" s="10"/>
      <c r="S204" s="10"/>
      <c r="T204" s="27"/>
      <c r="U204" s="30">
        <v>10.127492877492879</v>
      </c>
      <c r="V204" s="30">
        <v>0</v>
      </c>
      <c r="W204" s="30">
        <v>0</v>
      </c>
      <c r="X204" s="28"/>
      <c r="Y204" s="9"/>
      <c r="Z204" s="9"/>
      <c r="AA204" s="27"/>
      <c r="AB204" s="29"/>
      <c r="AC204" s="14" t="s">
        <v>35</v>
      </c>
      <c r="AD204" s="14" t="s">
        <v>35</v>
      </c>
      <c r="AE204" s="29"/>
      <c r="AF204" s="29"/>
      <c r="AG204" s="29"/>
      <c r="AH204" s="29"/>
      <c r="AI204" s="28"/>
      <c r="AJ204" s="3" t="s">
        <v>42</v>
      </c>
      <c r="AK204" s="3" t="s">
        <v>43</v>
      </c>
    </row>
    <row r="205" spans="2:37" hidden="1" x14ac:dyDescent="0.3">
      <c r="B205" s="13"/>
      <c r="C205" s="10">
        <v>71</v>
      </c>
      <c r="D205" s="77" t="s">
        <v>1044</v>
      </c>
      <c r="E205" s="10"/>
      <c r="F205" s="10"/>
      <c r="G205" s="10"/>
      <c r="H205" s="10" t="s">
        <v>119</v>
      </c>
      <c r="I205" s="51" t="s">
        <v>287</v>
      </c>
      <c r="J205" s="10" t="s">
        <v>288</v>
      </c>
      <c r="K205" s="10" t="str">
        <f t="shared" si="7"/>
        <v>S1</v>
      </c>
      <c r="L205" s="26" t="s">
        <v>244</v>
      </c>
      <c r="M205" s="10" t="s">
        <v>40</v>
      </c>
      <c r="N205" s="10" t="s">
        <v>41</v>
      </c>
      <c r="O205" s="10" t="s">
        <v>955</v>
      </c>
      <c r="P205" s="13" t="s">
        <v>331</v>
      </c>
      <c r="Q205" s="10" t="s">
        <v>34</v>
      </c>
      <c r="R205" s="10"/>
      <c r="S205" s="10"/>
      <c r="T205" s="27"/>
      <c r="U205" s="30">
        <v>9.2065527065527064</v>
      </c>
      <c r="V205" s="30">
        <v>0</v>
      </c>
      <c r="W205" s="30">
        <v>0</v>
      </c>
      <c r="X205" s="28"/>
      <c r="Y205" s="9"/>
      <c r="Z205" s="9"/>
      <c r="AA205" s="27"/>
      <c r="AB205" s="14" t="s">
        <v>35</v>
      </c>
      <c r="AC205" s="29"/>
      <c r="AD205" s="14" t="s">
        <v>35</v>
      </c>
      <c r="AE205" s="29"/>
      <c r="AF205" s="29"/>
      <c r="AG205" s="29"/>
      <c r="AH205" s="29"/>
      <c r="AI205" s="28"/>
      <c r="AJ205" s="3" t="s">
        <v>42</v>
      </c>
      <c r="AK205" s="3" t="s">
        <v>43</v>
      </c>
    </row>
    <row r="206" spans="2:37" hidden="1" x14ac:dyDescent="0.3">
      <c r="B206" s="13"/>
      <c r="C206" s="10">
        <v>72</v>
      </c>
      <c r="D206" s="77" t="s">
        <v>1044</v>
      </c>
      <c r="E206" s="10"/>
      <c r="F206" s="10"/>
      <c r="G206" s="10"/>
      <c r="H206" s="10" t="s">
        <v>119</v>
      </c>
      <c r="I206" s="51" t="s">
        <v>289</v>
      </c>
      <c r="J206" s="10" t="s">
        <v>290</v>
      </c>
      <c r="K206" s="10" t="str">
        <f t="shared" si="7"/>
        <v>S1</v>
      </c>
      <c r="L206" s="26" t="s">
        <v>232</v>
      </c>
      <c r="M206" s="10" t="s">
        <v>40</v>
      </c>
      <c r="N206" s="10" t="s">
        <v>41</v>
      </c>
      <c r="O206" s="10" t="s">
        <v>951</v>
      </c>
      <c r="P206" s="13" t="s">
        <v>33</v>
      </c>
      <c r="Q206" s="10" t="s">
        <v>34</v>
      </c>
      <c r="R206" s="10"/>
      <c r="S206" s="10"/>
      <c r="T206" s="27"/>
      <c r="U206" s="30">
        <v>19.33440170940171</v>
      </c>
      <c r="V206" s="30">
        <v>0</v>
      </c>
      <c r="W206" s="30">
        <v>0</v>
      </c>
      <c r="X206" s="28"/>
      <c r="Y206" s="9"/>
      <c r="Z206" s="9"/>
      <c r="AA206" s="27"/>
      <c r="AB206" s="29"/>
      <c r="AC206" s="29"/>
      <c r="AD206" s="14" t="s">
        <v>35</v>
      </c>
      <c r="AE206" s="29"/>
      <c r="AF206" s="29"/>
      <c r="AG206" s="29"/>
      <c r="AH206" s="29"/>
      <c r="AI206" s="28"/>
      <c r="AJ206" s="3" t="s">
        <v>35</v>
      </c>
      <c r="AK206" s="3" t="s">
        <v>59</v>
      </c>
    </row>
    <row r="207" spans="2:37" ht="52.95" hidden="1" customHeight="1" x14ac:dyDescent="0.3">
      <c r="B207" s="13"/>
      <c r="C207" s="10">
        <v>73</v>
      </c>
      <c r="D207" s="77" t="s">
        <v>1044</v>
      </c>
      <c r="E207" s="10"/>
      <c r="F207" s="10"/>
      <c r="G207" s="10"/>
      <c r="H207" s="10" t="s">
        <v>119</v>
      </c>
      <c r="I207" s="51" t="s">
        <v>291</v>
      </c>
      <c r="J207" s="10" t="s">
        <v>292</v>
      </c>
      <c r="K207" s="10" t="str">
        <f t="shared" si="7"/>
        <v>S1</v>
      </c>
      <c r="L207" s="26" t="s">
        <v>293</v>
      </c>
      <c r="M207" s="10" t="s">
        <v>40</v>
      </c>
      <c r="N207" s="10" t="s">
        <v>41</v>
      </c>
      <c r="O207" s="10" t="s">
        <v>948</v>
      </c>
      <c r="P207" s="13" t="s">
        <v>33</v>
      </c>
      <c r="Q207" s="10" t="s">
        <v>34</v>
      </c>
      <c r="R207" s="10"/>
      <c r="S207" s="10"/>
      <c r="T207" s="27"/>
      <c r="U207" s="30">
        <v>0</v>
      </c>
      <c r="V207" s="30">
        <v>0</v>
      </c>
      <c r="W207" s="30">
        <v>0</v>
      </c>
      <c r="X207" s="28"/>
      <c r="Y207" s="9"/>
      <c r="Z207" s="9"/>
      <c r="AA207" s="27"/>
      <c r="AB207" s="14" t="s">
        <v>35</v>
      </c>
      <c r="AC207" s="29"/>
      <c r="AD207" s="14" t="s">
        <v>35</v>
      </c>
      <c r="AE207" s="29"/>
      <c r="AF207" s="29"/>
      <c r="AG207" s="29"/>
      <c r="AH207" s="29"/>
      <c r="AI207" s="28"/>
      <c r="AJ207" s="3" t="s">
        <v>42</v>
      </c>
      <c r="AK207" s="3" t="s">
        <v>43</v>
      </c>
    </row>
    <row r="208" spans="2:37" hidden="1" x14ac:dyDescent="0.3">
      <c r="B208" s="13"/>
      <c r="C208" s="10">
        <v>74</v>
      </c>
      <c r="D208" s="77" t="s">
        <v>1044</v>
      </c>
      <c r="E208" s="10"/>
      <c r="F208" s="10"/>
      <c r="G208" s="10"/>
      <c r="H208" s="10" t="s">
        <v>119</v>
      </c>
      <c r="I208" s="51" t="s">
        <v>294</v>
      </c>
      <c r="J208" s="10" t="s">
        <v>295</v>
      </c>
      <c r="K208" s="10" t="str">
        <f t="shared" si="7"/>
        <v>S1</v>
      </c>
      <c r="L208" s="26" t="s">
        <v>282</v>
      </c>
      <c r="M208" s="10" t="s">
        <v>40</v>
      </c>
      <c r="N208" s="10" t="s">
        <v>41</v>
      </c>
      <c r="O208" s="10" t="s">
        <v>948</v>
      </c>
      <c r="P208" s="13" t="s">
        <v>33</v>
      </c>
      <c r="Q208" s="10" t="s">
        <v>34</v>
      </c>
      <c r="R208" s="10"/>
      <c r="S208" s="10"/>
      <c r="T208" s="27"/>
      <c r="U208" s="30">
        <v>0</v>
      </c>
      <c r="V208" s="30">
        <v>0</v>
      </c>
      <c r="W208" s="30">
        <v>0</v>
      </c>
      <c r="X208" s="28"/>
      <c r="Y208" s="9"/>
      <c r="Z208" s="9"/>
      <c r="AA208" s="27"/>
      <c r="AB208" s="14" t="s">
        <v>35</v>
      </c>
      <c r="AC208" s="29"/>
      <c r="AD208" s="14" t="s">
        <v>35</v>
      </c>
      <c r="AE208" s="29"/>
      <c r="AF208" s="29"/>
      <c r="AG208" s="29"/>
      <c r="AH208" s="29"/>
      <c r="AI208" s="28"/>
      <c r="AJ208" s="3" t="s">
        <v>42</v>
      </c>
      <c r="AK208" s="3" t="s">
        <v>641</v>
      </c>
    </row>
    <row r="209" spans="2:37" ht="52.95" hidden="1" customHeight="1" x14ac:dyDescent="0.3">
      <c r="B209" s="13"/>
      <c r="C209" s="10">
        <v>75</v>
      </c>
      <c r="D209" s="77" t="s">
        <v>1044</v>
      </c>
      <c r="E209" s="10"/>
      <c r="F209" s="10"/>
      <c r="G209" s="10"/>
      <c r="H209" s="10" t="s">
        <v>119</v>
      </c>
      <c r="I209" s="51" t="s">
        <v>296</v>
      </c>
      <c r="J209" s="10" t="s">
        <v>297</v>
      </c>
      <c r="K209" s="10" t="str">
        <f t="shared" si="7"/>
        <v>S1</v>
      </c>
      <c r="L209" s="26" t="s">
        <v>282</v>
      </c>
      <c r="M209" s="10" t="s">
        <v>40</v>
      </c>
      <c r="N209" s="10" t="s">
        <v>41</v>
      </c>
      <c r="O209" s="10" t="s">
        <v>948</v>
      </c>
      <c r="P209" s="13" t="s">
        <v>33</v>
      </c>
      <c r="Q209" s="10" t="s">
        <v>34</v>
      </c>
      <c r="R209" s="10"/>
      <c r="S209" s="10"/>
      <c r="T209" s="27"/>
      <c r="U209" s="30">
        <v>0</v>
      </c>
      <c r="V209" s="30">
        <v>0</v>
      </c>
      <c r="W209" s="30">
        <v>0</v>
      </c>
      <c r="X209" s="28"/>
      <c r="Y209" s="9"/>
      <c r="Z209" s="9"/>
      <c r="AA209" s="27"/>
      <c r="AB209" s="14" t="s">
        <v>35</v>
      </c>
      <c r="AC209" s="29"/>
      <c r="AD209" s="14" t="s">
        <v>35</v>
      </c>
      <c r="AE209" s="29"/>
      <c r="AF209" s="29"/>
      <c r="AG209" s="29"/>
      <c r="AH209" s="29"/>
      <c r="AI209" s="28"/>
      <c r="AJ209" s="3" t="s">
        <v>183</v>
      </c>
      <c r="AK209" s="3" t="s">
        <v>284</v>
      </c>
    </row>
    <row r="210" spans="2:37" ht="52.95" hidden="1" customHeight="1" x14ac:dyDescent="0.3">
      <c r="B210" s="13"/>
      <c r="C210" s="10">
        <v>76</v>
      </c>
      <c r="D210" s="77" t="s">
        <v>1044</v>
      </c>
      <c r="E210" s="10"/>
      <c r="F210" s="10"/>
      <c r="G210" s="10"/>
      <c r="H210" s="10" t="s">
        <v>119</v>
      </c>
      <c r="I210" s="51" t="s">
        <v>298</v>
      </c>
      <c r="J210" s="10" t="s">
        <v>299</v>
      </c>
      <c r="K210" s="10" t="str">
        <f t="shared" si="7"/>
        <v>S1</v>
      </c>
      <c r="L210" s="26" t="s">
        <v>300</v>
      </c>
      <c r="M210" s="10" t="s">
        <v>40</v>
      </c>
      <c r="N210" s="10" t="s">
        <v>41</v>
      </c>
      <c r="O210" s="10" t="s">
        <v>948</v>
      </c>
      <c r="P210" s="13" t="s">
        <v>33</v>
      </c>
      <c r="Q210" s="10" t="s">
        <v>34</v>
      </c>
      <c r="R210" s="10"/>
      <c r="S210" s="10"/>
      <c r="T210" s="27"/>
      <c r="U210" s="30">
        <v>8.2863247863247871</v>
      </c>
      <c r="V210" s="30">
        <v>0</v>
      </c>
      <c r="W210" s="30">
        <v>0</v>
      </c>
      <c r="X210" s="28"/>
      <c r="Y210" s="9"/>
      <c r="Z210" s="9"/>
      <c r="AA210" s="27"/>
      <c r="AB210" s="14" t="s">
        <v>35</v>
      </c>
      <c r="AC210" s="29"/>
      <c r="AD210" s="14" t="s">
        <v>35</v>
      </c>
      <c r="AE210" s="29"/>
      <c r="AF210" s="29"/>
      <c r="AG210" s="29"/>
      <c r="AH210" s="29"/>
      <c r="AI210" s="28"/>
      <c r="AJ210" s="3" t="s">
        <v>183</v>
      </c>
      <c r="AK210" s="3" t="s">
        <v>284</v>
      </c>
    </row>
    <row r="211" spans="2:37" hidden="1" x14ac:dyDescent="0.3">
      <c r="B211" s="49"/>
      <c r="C211" s="42">
        <v>236</v>
      </c>
      <c r="D211" s="42" t="s">
        <v>1038</v>
      </c>
      <c r="E211" s="42"/>
      <c r="F211" s="42"/>
      <c r="G211" s="42"/>
      <c r="H211" s="42" t="s">
        <v>109</v>
      </c>
      <c r="I211" s="42" t="s">
        <v>798</v>
      </c>
      <c r="J211" s="42" t="s">
        <v>799</v>
      </c>
      <c r="K211" s="42" t="str">
        <f t="shared" si="7"/>
        <v>S5</v>
      </c>
      <c r="L211" s="43" t="s">
        <v>800</v>
      </c>
      <c r="M211" s="42" t="s">
        <v>640</v>
      </c>
      <c r="N211" s="42" t="s">
        <v>344</v>
      </c>
      <c r="O211" s="52" t="s">
        <v>944</v>
      </c>
      <c r="P211" s="49" t="s">
        <v>1010</v>
      </c>
      <c r="Q211" s="42" t="s">
        <v>1030</v>
      </c>
      <c r="R211" s="42"/>
      <c r="S211" s="44" t="s">
        <v>214</v>
      </c>
      <c r="T211" s="27"/>
      <c r="U211" s="30">
        <v>0</v>
      </c>
      <c r="V211" s="30">
        <v>0</v>
      </c>
      <c r="W211" s="30">
        <v>0</v>
      </c>
      <c r="X211" s="28"/>
      <c r="Y211" s="9"/>
      <c r="Z211" s="9"/>
      <c r="AA211" s="27"/>
      <c r="AB211" s="29"/>
      <c r="AC211" s="14" t="s">
        <v>35</v>
      </c>
      <c r="AD211" s="29"/>
      <c r="AE211" s="29"/>
      <c r="AF211" s="29"/>
      <c r="AG211" s="29"/>
      <c r="AH211" s="29"/>
      <c r="AI211" s="28"/>
      <c r="AJ211" s="3" t="s">
        <v>42</v>
      </c>
    </row>
    <row r="212" spans="2:37" hidden="1" x14ac:dyDescent="0.3">
      <c r="B212" s="13"/>
      <c r="C212" s="10">
        <v>77</v>
      </c>
      <c r="D212" s="77" t="s">
        <v>1044</v>
      </c>
      <c r="E212" s="10"/>
      <c r="F212" s="10"/>
      <c r="G212" s="10"/>
      <c r="H212" s="10" t="s">
        <v>119</v>
      </c>
      <c r="I212" s="51" t="s">
        <v>301</v>
      </c>
      <c r="J212" s="10" t="s">
        <v>302</v>
      </c>
      <c r="K212" s="10" t="str">
        <f t="shared" si="7"/>
        <v>S1</v>
      </c>
      <c r="L212" s="26" t="s">
        <v>303</v>
      </c>
      <c r="M212" s="10" t="s">
        <v>40</v>
      </c>
      <c r="N212" s="10" t="s">
        <v>41</v>
      </c>
      <c r="O212" s="10" t="s">
        <v>948</v>
      </c>
      <c r="P212" s="13" t="s">
        <v>33</v>
      </c>
      <c r="Q212" s="10" t="s">
        <v>34</v>
      </c>
      <c r="R212" s="10"/>
      <c r="S212" s="10"/>
      <c r="T212" s="27"/>
      <c r="U212" s="30">
        <v>16.57229344729345</v>
      </c>
      <c r="V212" s="30">
        <v>0</v>
      </c>
      <c r="W212" s="30">
        <v>0</v>
      </c>
      <c r="X212" s="28"/>
      <c r="Y212" s="9"/>
      <c r="Z212" s="9"/>
      <c r="AA212" s="27"/>
      <c r="AB212" s="14" t="s">
        <v>35</v>
      </c>
      <c r="AC212" s="29"/>
      <c r="AD212" s="14" t="s">
        <v>35</v>
      </c>
      <c r="AE212" s="29"/>
      <c r="AF212" s="29"/>
      <c r="AG212" s="29"/>
      <c r="AH212" s="29"/>
      <c r="AI212" s="28"/>
      <c r="AJ212" s="3" t="s">
        <v>42</v>
      </c>
      <c r="AK212" s="3" t="s">
        <v>43</v>
      </c>
    </row>
    <row r="213" spans="2:37" ht="15" hidden="1" customHeight="1" x14ac:dyDescent="0.3">
      <c r="B213" s="13"/>
      <c r="C213" s="10">
        <v>78</v>
      </c>
      <c r="D213" s="77" t="s">
        <v>1044</v>
      </c>
      <c r="E213" s="10"/>
      <c r="F213" s="10"/>
      <c r="G213" s="10"/>
      <c r="H213" s="10" t="s">
        <v>119</v>
      </c>
      <c r="I213" s="51" t="s">
        <v>304</v>
      </c>
      <c r="J213" s="10" t="s">
        <v>305</v>
      </c>
      <c r="K213" s="10" t="str">
        <f t="shared" si="7"/>
        <v>S1</v>
      </c>
      <c r="L213" s="26" t="s">
        <v>303</v>
      </c>
      <c r="M213" s="10" t="s">
        <v>40</v>
      </c>
      <c r="N213" s="10" t="s">
        <v>41</v>
      </c>
      <c r="O213" s="10" t="s">
        <v>948</v>
      </c>
      <c r="P213" s="13" t="s">
        <v>33</v>
      </c>
      <c r="Q213" s="10" t="s">
        <v>34</v>
      </c>
      <c r="R213" s="10"/>
      <c r="S213" s="10"/>
      <c r="T213" s="27"/>
      <c r="U213" s="30">
        <v>22.09633190883191</v>
      </c>
      <c r="V213" s="30">
        <v>0</v>
      </c>
      <c r="W213" s="30">
        <v>0</v>
      </c>
      <c r="X213" s="28"/>
      <c r="Y213" s="9"/>
      <c r="Z213" s="9"/>
      <c r="AA213" s="27"/>
      <c r="AB213" s="14" t="s">
        <v>35</v>
      </c>
      <c r="AC213" s="29"/>
      <c r="AD213" s="14" t="s">
        <v>35</v>
      </c>
      <c r="AE213" s="29"/>
      <c r="AF213" s="29"/>
      <c r="AG213" s="29"/>
      <c r="AH213" s="29"/>
      <c r="AI213" s="28"/>
      <c r="AJ213" s="3" t="s">
        <v>35</v>
      </c>
      <c r="AK213" s="3" t="s">
        <v>59</v>
      </c>
    </row>
    <row r="214" spans="2:37" hidden="1" x14ac:dyDescent="0.3">
      <c r="B214" s="13"/>
      <c r="C214" s="10">
        <v>79</v>
      </c>
      <c r="D214" s="77" t="s">
        <v>1044</v>
      </c>
      <c r="E214" s="10"/>
      <c r="F214" s="10"/>
      <c r="G214" s="10"/>
      <c r="H214" s="10" t="s">
        <v>119</v>
      </c>
      <c r="I214" s="51" t="s">
        <v>306</v>
      </c>
      <c r="J214" s="10" t="s">
        <v>307</v>
      </c>
      <c r="K214" s="10" t="str">
        <f t="shared" si="7"/>
        <v>S1</v>
      </c>
      <c r="L214" s="26" t="s">
        <v>303</v>
      </c>
      <c r="M214" s="10" t="s">
        <v>40</v>
      </c>
      <c r="N214" s="10" t="s">
        <v>41</v>
      </c>
      <c r="O214" s="10" t="s">
        <v>948</v>
      </c>
      <c r="P214" s="13" t="s">
        <v>33</v>
      </c>
      <c r="Q214" s="10" t="s">
        <v>34</v>
      </c>
      <c r="R214" s="10"/>
      <c r="S214" s="10"/>
      <c r="T214" s="27"/>
      <c r="U214" s="30">
        <v>4.6036324786324796</v>
      </c>
      <c r="V214" s="30">
        <v>0</v>
      </c>
      <c r="W214" s="30">
        <v>0</v>
      </c>
      <c r="X214" s="28"/>
      <c r="Y214" s="9"/>
      <c r="Z214" s="9"/>
      <c r="AA214" s="27"/>
      <c r="AB214" s="14" t="s">
        <v>35</v>
      </c>
      <c r="AC214" s="29"/>
      <c r="AD214" s="14" t="s">
        <v>35</v>
      </c>
      <c r="AE214" s="29"/>
      <c r="AF214" s="29"/>
      <c r="AG214" s="29"/>
      <c r="AH214" s="29"/>
      <c r="AI214" s="28"/>
      <c r="AJ214" s="3" t="s">
        <v>35</v>
      </c>
      <c r="AK214" s="3" t="s">
        <v>59</v>
      </c>
    </row>
    <row r="215" spans="2:37" hidden="1" x14ac:dyDescent="0.3">
      <c r="B215" s="13"/>
      <c r="C215" s="10">
        <v>80</v>
      </c>
      <c r="D215" s="77" t="s">
        <v>1044</v>
      </c>
      <c r="E215" s="10"/>
      <c r="F215" s="10"/>
      <c r="G215" s="10"/>
      <c r="H215" s="10" t="s">
        <v>119</v>
      </c>
      <c r="I215" s="51" t="s">
        <v>308</v>
      </c>
      <c r="J215" s="10" t="s">
        <v>309</v>
      </c>
      <c r="K215" s="10" t="str">
        <f t="shared" si="7"/>
        <v>S1</v>
      </c>
      <c r="L215" s="26" t="s">
        <v>310</v>
      </c>
      <c r="M215" s="10" t="s">
        <v>40</v>
      </c>
      <c r="N215" s="10" t="s">
        <v>41</v>
      </c>
      <c r="O215" s="10" t="s">
        <v>948</v>
      </c>
      <c r="P215" s="13" t="s">
        <v>33</v>
      </c>
      <c r="Q215" s="10" t="s">
        <v>34</v>
      </c>
      <c r="R215" s="10"/>
      <c r="S215" s="10"/>
      <c r="T215" s="27"/>
      <c r="U215" s="30">
        <v>2.7621082621082622</v>
      </c>
      <c r="V215" s="30">
        <v>0</v>
      </c>
      <c r="W215" s="30">
        <v>0</v>
      </c>
      <c r="X215" s="28"/>
      <c r="Y215" s="9"/>
      <c r="Z215" s="9"/>
      <c r="AA215" s="27"/>
      <c r="AB215" s="14" t="s">
        <v>35</v>
      </c>
      <c r="AC215" s="29"/>
      <c r="AD215" s="14" t="s">
        <v>35</v>
      </c>
      <c r="AE215" s="29"/>
      <c r="AF215" s="29"/>
      <c r="AG215" s="29"/>
      <c r="AH215" s="29"/>
      <c r="AI215" s="28"/>
      <c r="AJ215" s="3" t="s">
        <v>42</v>
      </c>
    </row>
    <row r="216" spans="2:37" hidden="1" x14ac:dyDescent="0.3">
      <c r="B216" s="13"/>
      <c r="C216" s="10">
        <v>81</v>
      </c>
      <c r="D216" s="77" t="s">
        <v>1044</v>
      </c>
      <c r="E216" s="10"/>
      <c r="F216" s="10"/>
      <c r="G216" s="10"/>
      <c r="H216" s="10" t="s">
        <v>119</v>
      </c>
      <c r="I216" s="51" t="s">
        <v>311</v>
      </c>
      <c r="J216" s="10" t="s">
        <v>312</v>
      </c>
      <c r="K216" s="10" t="str">
        <f t="shared" si="7"/>
        <v>S1</v>
      </c>
      <c r="L216" s="26" t="s">
        <v>310</v>
      </c>
      <c r="M216" s="10" t="s">
        <v>40</v>
      </c>
      <c r="N216" s="10" t="s">
        <v>41</v>
      </c>
      <c r="O216" s="10" t="s">
        <v>948</v>
      </c>
      <c r="P216" s="13" t="s">
        <v>33</v>
      </c>
      <c r="Q216" s="10" t="s">
        <v>34</v>
      </c>
      <c r="R216" s="10"/>
      <c r="S216" s="10"/>
      <c r="T216" s="27"/>
      <c r="U216" s="30">
        <v>2.7621082621082622</v>
      </c>
      <c r="V216" s="30">
        <v>0</v>
      </c>
      <c r="W216" s="30">
        <v>0</v>
      </c>
      <c r="X216" s="28"/>
      <c r="Y216" s="9"/>
      <c r="Z216" s="9"/>
      <c r="AA216" s="27"/>
      <c r="AB216" s="14" t="s">
        <v>35</v>
      </c>
      <c r="AC216" s="29"/>
      <c r="AD216" s="14" t="s">
        <v>35</v>
      </c>
      <c r="AE216" s="29"/>
      <c r="AF216" s="29"/>
      <c r="AG216" s="29"/>
      <c r="AH216" s="29"/>
      <c r="AI216" s="28"/>
      <c r="AJ216" s="3" t="s">
        <v>42</v>
      </c>
    </row>
    <row r="217" spans="2:37" hidden="1" x14ac:dyDescent="0.3">
      <c r="B217" s="13"/>
      <c r="C217" s="13">
        <v>1103</v>
      </c>
      <c r="D217" s="77" t="s">
        <v>1044</v>
      </c>
      <c r="E217" s="10"/>
      <c r="F217" s="10"/>
      <c r="G217" s="10"/>
      <c r="H217" s="10" t="s">
        <v>119</v>
      </c>
      <c r="I217" s="10" t="str">
        <f>RIGHT(J217,LEN(J217)-3)</f>
        <v>S48000FV</v>
      </c>
      <c r="J217" s="34" t="s">
        <v>1013</v>
      </c>
      <c r="K217" s="10" t="s">
        <v>989</v>
      </c>
      <c r="L217" s="73" t="s">
        <v>1024</v>
      </c>
      <c r="M217" s="10" t="s">
        <v>40</v>
      </c>
      <c r="N217" s="10" t="s">
        <v>41</v>
      </c>
      <c r="O217" s="10" t="s">
        <v>952</v>
      </c>
      <c r="P217" s="13" t="s">
        <v>1010</v>
      </c>
      <c r="Q217" s="10" t="s">
        <v>1011</v>
      </c>
      <c r="R217" s="10"/>
      <c r="S217" s="10"/>
      <c r="T217" s="27"/>
      <c r="U217" s="30">
        <v>0</v>
      </c>
      <c r="V217" s="30">
        <v>0</v>
      </c>
      <c r="W217" s="30">
        <v>0</v>
      </c>
      <c r="X217" s="28"/>
      <c r="Y217" s="9"/>
      <c r="Z217" s="9"/>
      <c r="AA217" s="27"/>
      <c r="AB217" s="14" t="s">
        <v>35</v>
      </c>
      <c r="AC217" s="14" t="s">
        <v>35</v>
      </c>
      <c r="AD217" s="14" t="s">
        <v>35</v>
      </c>
      <c r="AE217" s="29"/>
      <c r="AF217" s="29"/>
      <c r="AG217" s="29"/>
      <c r="AH217" s="29"/>
      <c r="AI217" s="28"/>
      <c r="AJ217" s="3" t="s">
        <v>42</v>
      </c>
    </row>
    <row r="218" spans="2:37" hidden="1" x14ac:dyDescent="0.3">
      <c r="B218" s="13"/>
      <c r="C218" s="10">
        <v>82</v>
      </c>
      <c r="D218" s="77" t="s">
        <v>1044</v>
      </c>
      <c r="E218" s="10"/>
      <c r="F218" s="10"/>
      <c r="G218" s="10"/>
      <c r="H218" s="10" t="s">
        <v>119</v>
      </c>
      <c r="I218" s="51" t="s">
        <v>313</v>
      </c>
      <c r="J218" s="10" t="s">
        <v>314</v>
      </c>
      <c r="K218" s="10" t="str">
        <f t="shared" ref="K218:K261" si="8">+LEFT(J218,2)</f>
        <v>S1</v>
      </c>
      <c r="L218" s="26" t="s">
        <v>244</v>
      </c>
      <c r="M218" s="10" t="s">
        <v>40</v>
      </c>
      <c r="N218" s="10" t="s">
        <v>41</v>
      </c>
      <c r="O218" s="10" t="s">
        <v>948</v>
      </c>
      <c r="P218" s="13" t="s">
        <v>33</v>
      </c>
      <c r="Q218" s="10" t="s">
        <v>34</v>
      </c>
      <c r="R218" s="10"/>
      <c r="S218" s="10"/>
      <c r="T218" s="27"/>
      <c r="U218" s="30">
        <v>3.6826923076923079</v>
      </c>
      <c r="V218" s="30">
        <v>0</v>
      </c>
      <c r="W218" s="30">
        <v>0</v>
      </c>
      <c r="X218" s="28"/>
      <c r="Y218" s="9"/>
      <c r="Z218" s="9"/>
      <c r="AA218" s="27"/>
      <c r="AB218" s="14" t="s">
        <v>35</v>
      </c>
      <c r="AC218" s="29"/>
      <c r="AD218" s="14" t="s">
        <v>35</v>
      </c>
      <c r="AE218" s="29"/>
      <c r="AF218" s="29"/>
      <c r="AG218" s="29"/>
      <c r="AH218" s="29"/>
      <c r="AI218" s="28"/>
      <c r="AJ218" s="3" t="s">
        <v>42</v>
      </c>
    </row>
    <row r="219" spans="2:37" hidden="1" x14ac:dyDescent="0.3">
      <c r="B219" s="13"/>
      <c r="C219" s="10">
        <v>83</v>
      </c>
      <c r="D219" s="77" t="s">
        <v>1044</v>
      </c>
      <c r="E219" s="10"/>
      <c r="F219" s="10"/>
      <c r="G219" s="10"/>
      <c r="H219" s="10" t="s">
        <v>119</v>
      </c>
      <c r="I219" s="51" t="s">
        <v>315</v>
      </c>
      <c r="J219" s="10" t="s">
        <v>316</v>
      </c>
      <c r="K219" s="10" t="str">
        <f t="shared" si="8"/>
        <v>S1</v>
      </c>
      <c r="L219" s="26" t="s">
        <v>282</v>
      </c>
      <c r="M219" s="10" t="s">
        <v>40</v>
      </c>
      <c r="N219" s="10" t="s">
        <v>41</v>
      </c>
      <c r="O219" s="10" t="s">
        <v>948</v>
      </c>
      <c r="P219" s="13" t="s">
        <v>33</v>
      </c>
      <c r="Q219" s="10" t="s">
        <v>34</v>
      </c>
      <c r="R219" s="10"/>
      <c r="S219" s="10"/>
      <c r="T219" s="27"/>
      <c r="U219" s="30">
        <v>0</v>
      </c>
      <c r="V219" s="30">
        <v>0</v>
      </c>
      <c r="W219" s="30">
        <v>0</v>
      </c>
      <c r="X219" s="28"/>
      <c r="Y219" s="9"/>
      <c r="Z219" s="9"/>
      <c r="AA219" s="27"/>
      <c r="AB219" s="14" t="s">
        <v>35</v>
      </c>
      <c r="AC219" s="29"/>
      <c r="AD219" s="14" t="s">
        <v>35</v>
      </c>
      <c r="AE219" s="29"/>
      <c r="AF219" s="29"/>
      <c r="AG219" s="29"/>
      <c r="AH219" s="29"/>
      <c r="AI219" s="28"/>
      <c r="AJ219" s="3" t="s">
        <v>42</v>
      </c>
    </row>
    <row r="220" spans="2:37" hidden="1" x14ac:dyDescent="0.3">
      <c r="B220" s="13"/>
      <c r="C220" s="10">
        <v>84</v>
      </c>
      <c r="D220" s="77" t="s">
        <v>1044</v>
      </c>
      <c r="E220" s="10"/>
      <c r="F220" s="10"/>
      <c r="G220" s="10"/>
      <c r="H220" s="10" t="s">
        <v>119</v>
      </c>
      <c r="I220" s="51" t="s">
        <v>317</v>
      </c>
      <c r="J220" s="10" t="s">
        <v>318</v>
      </c>
      <c r="K220" s="10" t="str">
        <f t="shared" si="8"/>
        <v>S1</v>
      </c>
      <c r="L220" s="26" t="s">
        <v>282</v>
      </c>
      <c r="M220" s="10" t="s">
        <v>40</v>
      </c>
      <c r="N220" s="10" t="s">
        <v>41</v>
      </c>
      <c r="O220" s="10" t="s">
        <v>948</v>
      </c>
      <c r="P220" s="13" t="s">
        <v>33</v>
      </c>
      <c r="Q220" s="10" t="s">
        <v>34</v>
      </c>
      <c r="R220" s="10"/>
      <c r="S220" s="10"/>
      <c r="T220" s="27"/>
      <c r="U220" s="30">
        <v>0</v>
      </c>
      <c r="V220" s="30">
        <v>0</v>
      </c>
      <c r="W220" s="30">
        <v>0</v>
      </c>
      <c r="X220" s="28"/>
      <c r="Y220" s="9"/>
      <c r="Z220" s="9"/>
      <c r="AA220" s="27"/>
      <c r="AB220" s="14" t="s">
        <v>35</v>
      </c>
      <c r="AC220" s="29"/>
      <c r="AD220" s="14" t="s">
        <v>35</v>
      </c>
      <c r="AE220" s="29"/>
      <c r="AF220" s="29"/>
      <c r="AG220" s="29"/>
      <c r="AH220" s="29"/>
      <c r="AI220" s="28"/>
      <c r="AJ220" s="3" t="s">
        <v>42</v>
      </c>
    </row>
    <row r="221" spans="2:37" hidden="1" x14ac:dyDescent="0.3">
      <c r="B221" s="13"/>
      <c r="C221" s="10">
        <v>85</v>
      </c>
      <c r="D221" s="77" t="s">
        <v>1044</v>
      </c>
      <c r="E221" s="10"/>
      <c r="F221" s="10"/>
      <c r="G221" s="10"/>
      <c r="H221" s="10" t="s">
        <v>119</v>
      </c>
      <c r="I221" s="51" t="s">
        <v>319</v>
      </c>
      <c r="J221" s="10" t="s">
        <v>320</v>
      </c>
      <c r="K221" s="10" t="str">
        <f t="shared" si="8"/>
        <v>S1</v>
      </c>
      <c r="L221" s="26" t="s">
        <v>282</v>
      </c>
      <c r="M221" s="10" t="s">
        <v>40</v>
      </c>
      <c r="N221" s="10" t="s">
        <v>41</v>
      </c>
      <c r="O221" s="10" t="s">
        <v>948</v>
      </c>
      <c r="P221" s="13" t="s">
        <v>33</v>
      </c>
      <c r="Q221" s="10" t="s">
        <v>34</v>
      </c>
      <c r="R221" s="10"/>
      <c r="S221" s="10"/>
      <c r="T221" s="27"/>
      <c r="U221" s="30">
        <v>0</v>
      </c>
      <c r="V221" s="30">
        <v>0</v>
      </c>
      <c r="W221" s="30">
        <v>0</v>
      </c>
      <c r="X221" s="28"/>
      <c r="Y221" s="9"/>
      <c r="Z221" s="9"/>
      <c r="AA221" s="27"/>
      <c r="AB221" s="14" t="s">
        <v>35</v>
      </c>
      <c r="AC221" s="29"/>
      <c r="AD221" s="14" t="s">
        <v>35</v>
      </c>
      <c r="AE221" s="29"/>
      <c r="AF221" s="29"/>
      <c r="AG221" s="29"/>
      <c r="AH221" s="29"/>
      <c r="AI221" s="28"/>
      <c r="AJ221" s="3" t="s">
        <v>42</v>
      </c>
      <c r="AK221" s="3" t="s">
        <v>43</v>
      </c>
    </row>
    <row r="222" spans="2:37" hidden="1" x14ac:dyDescent="0.3">
      <c r="B222" s="13"/>
      <c r="C222" s="10">
        <v>176</v>
      </c>
      <c r="D222" s="77" t="s">
        <v>1044</v>
      </c>
      <c r="E222" s="10"/>
      <c r="F222" s="10"/>
      <c r="G222" s="10"/>
      <c r="H222" s="10" t="s">
        <v>119</v>
      </c>
      <c r="I222" s="51" t="s">
        <v>621</v>
      </c>
      <c r="J222" s="10" t="s">
        <v>622</v>
      </c>
      <c r="K222" s="10" t="str">
        <f t="shared" si="8"/>
        <v>S2</v>
      </c>
      <c r="L222" s="26" t="s">
        <v>244</v>
      </c>
      <c r="M222" s="10" t="s">
        <v>40</v>
      </c>
      <c r="N222" s="10" t="s">
        <v>41</v>
      </c>
      <c r="O222" s="10" t="s">
        <v>948</v>
      </c>
      <c r="P222" s="13" t="s">
        <v>33</v>
      </c>
      <c r="Q222" s="10" t="s">
        <v>34</v>
      </c>
      <c r="R222" s="10"/>
      <c r="S222" s="10"/>
      <c r="T222" s="27"/>
      <c r="U222" s="30">
        <v>0</v>
      </c>
      <c r="V222" s="30">
        <v>0</v>
      </c>
      <c r="W222" s="30">
        <v>0</v>
      </c>
      <c r="X222" s="28"/>
      <c r="Y222" s="9"/>
      <c r="Z222" s="9"/>
      <c r="AA222" s="27"/>
      <c r="AB222" s="29"/>
      <c r="AC222" s="14" t="s">
        <v>35</v>
      </c>
      <c r="AD222" s="14" t="s">
        <v>35</v>
      </c>
      <c r="AE222" s="29"/>
      <c r="AF222" s="29"/>
      <c r="AG222" s="29"/>
      <c r="AH222" s="29"/>
      <c r="AI222" s="28"/>
      <c r="AJ222" s="3" t="s">
        <v>42</v>
      </c>
      <c r="AK222" s="3" t="s">
        <v>43</v>
      </c>
    </row>
    <row r="223" spans="2:37" hidden="1" x14ac:dyDescent="0.3">
      <c r="B223" s="13"/>
      <c r="C223" s="10">
        <v>86</v>
      </c>
      <c r="D223" s="77" t="s">
        <v>1044</v>
      </c>
      <c r="E223" s="10"/>
      <c r="F223" s="10"/>
      <c r="G223" s="10"/>
      <c r="H223" s="10" t="s">
        <v>119</v>
      </c>
      <c r="I223" s="51" t="s">
        <v>321</v>
      </c>
      <c r="J223" s="10" t="s">
        <v>322</v>
      </c>
      <c r="K223" s="10" t="str">
        <f t="shared" si="8"/>
        <v>S1</v>
      </c>
      <c r="L223" s="26" t="s">
        <v>300</v>
      </c>
      <c r="M223" s="10" t="s">
        <v>40</v>
      </c>
      <c r="N223" s="10" t="s">
        <v>41</v>
      </c>
      <c r="O223" s="10" t="s">
        <v>948</v>
      </c>
      <c r="P223" s="13" t="s">
        <v>33</v>
      </c>
      <c r="Q223" s="10" t="s">
        <v>34</v>
      </c>
      <c r="R223" s="10"/>
      <c r="S223" s="10"/>
      <c r="T223" s="27"/>
      <c r="U223" s="30">
        <v>6.4451566951566948</v>
      </c>
      <c r="V223" s="30">
        <v>0</v>
      </c>
      <c r="W223" s="30">
        <v>0</v>
      </c>
      <c r="X223" s="28"/>
      <c r="Y223" s="9"/>
      <c r="Z223" s="9"/>
      <c r="AA223" s="27"/>
      <c r="AB223" s="14" t="s">
        <v>35</v>
      </c>
      <c r="AC223" s="29"/>
      <c r="AD223" s="14" t="s">
        <v>35</v>
      </c>
      <c r="AE223" s="29"/>
      <c r="AF223" s="29"/>
      <c r="AG223" s="29"/>
      <c r="AH223" s="29"/>
      <c r="AI223" s="28"/>
      <c r="AJ223" s="3" t="s">
        <v>42</v>
      </c>
      <c r="AK223" s="3" t="s">
        <v>43</v>
      </c>
    </row>
    <row r="224" spans="2:37" hidden="1" x14ac:dyDescent="0.3">
      <c r="B224" s="13"/>
      <c r="C224" s="10">
        <v>177</v>
      </c>
      <c r="D224" s="77" t="s">
        <v>1044</v>
      </c>
      <c r="E224" s="10"/>
      <c r="F224" s="10"/>
      <c r="G224" s="10"/>
      <c r="H224" s="10" t="s">
        <v>119</v>
      </c>
      <c r="I224" s="51" t="s">
        <v>623</v>
      </c>
      <c r="J224" s="10" t="s">
        <v>624</v>
      </c>
      <c r="K224" s="10" t="str">
        <f t="shared" si="8"/>
        <v>S2</v>
      </c>
      <c r="L224" s="26" t="s">
        <v>244</v>
      </c>
      <c r="M224" s="10" t="s">
        <v>40</v>
      </c>
      <c r="N224" s="10" t="s">
        <v>41</v>
      </c>
      <c r="O224" s="10" t="s">
        <v>948</v>
      </c>
      <c r="P224" s="13" t="s">
        <v>33</v>
      </c>
      <c r="Q224" s="10" t="s">
        <v>34</v>
      </c>
      <c r="R224" s="10"/>
      <c r="S224" s="10"/>
      <c r="T224" s="27"/>
      <c r="U224" s="30">
        <v>0</v>
      </c>
      <c r="V224" s="30">
        <v>0</v>
      </c>
      <c r="W224" s="30">
        <v>0</v>
      </c>
      <c r="X224" s="28"/>
      <c r="Y224" s="9"/>
      <c r="Z224" s="9"/>
      <c r="AA224" s="27"/>
      <c r="AB224" s="29"/>
      <c r="AC224" s="14" t="s">
        <v>35</v>
      </c>
      <c r="AD224" s="14" t="s">
        <v>35</v>
      </c>
      <c r="AE224" s="29"/>
      <c r="AF224" s="29"/>
      <c r="AG224" s="29"/>
      <c r="AH224" s="29"/>
      <c r="AI224" s="28"/>
      <c r="AJ224" s="3" t="s">
        <v>42</v>
      </c>
      <c r="AK224" s="3" t="s">
        <v>43</v>
      </c>
    </row>
    <row r="225" spans="2:37" hidden="1" x14ac:dyDescent="0.3">
      <c r="B225" s="13"/>
      <c r="C225" s="10">
        <v>87</v>
      </c>
      <c r="D225" s="77" t="s">
        <v>1044</v>
      </c>
      <c r="E225" s="10"/>
      <c r="F225" s="10"/>
      <c r="G225" s="10"/>
      <c r="H225" s="10" t="s">
        <v>119</v>
      </c>
      <c r="I225" s="51" t="s">
        <v>323</v>
      </c>
      <c r="J225" s="10" t="s">
        <v>324</v>
      </c>
      <c r="K225" s="10" t="str">
        <f t="shared" si="8"/>
        <v>S1</v>
      </c>
      <c r="L225" s="26" t="s">
        <v>300</v>
      </c>
      <c r="M225" s="10" t="s">
        <v>40</v>
      </c>
      <c r="N225" s="10" t="s">
        <v>41</v>
      </c>
      <c r="O225" s="10" t="s">
        <v>948</v>
      </c>
      <c r="P225" s="13" t="s">
        <v>1010</v>
      </c>
      <c r="Q225" s="10" t="s">
        <v>34</v>
      </c>
      <c r="R225" s="10"/>
      <c r="S225" s="10"/>
      <c r="T225" s="27"/>
      <c r="U225" s="30">
        <v>19.33440170940171</v>
      </c>
      <c r="V225" s="30">
        <v>0</v>
      </c>
      <c r="W225" s="30">
        <v>0</v>
      </c>
      <c r="X225" s="28"/>
      <c r="Y225" s="9"/>
      <c r="Z225" s="9"/>
      <c r="AA225" s="27"/>
      <c r="AB225" s="14" t="s">
        <v>35</v>
      </c>
      <c r="AC225" s="29"/>
      <c r="AD225" s="14" t="s">
        <v>35</v>
      </c>
      <c r="AE225" s="29"/>
      <c r="AF225" s="29"/>
      <c r="AG225" s="29"/>
      <c r="AH225" s="29"/>
      <c r="AI225" s="28"/>
      <c r="AJ225" s="3" t="s">
        <v>42</v>
      </c>
      <c r="AK225" s="3" t="s">
        <v>43</v>
      </c>
    </row>
    <row r="226" spans="2:37" hidden="1" x14ac:dyDescent="0.3">
      <c r="B226" s="13"/>
      <c r="C226" s="10">
        <v>88</v>
      </c>
      <c r="D226" s="77" t="s">
        <v>1044</v>
      </c>
      <c r="E226" s="10"/>
      <c r="F226" s="10"/>
      <c r="G226" s="10"/>
      <c r="H226" s="10" t="s">
        <v>119</v>
      </c>
      <c r="I226" s="51" t="s">
        <v>325</v>
      </c>
      <c r="J226" s="10" t="s">
        <v>326</v>
      </c>
      <c r="K226" s="10" t="str">
        <f t="shared" si="8"/>
        <v>S1</v>
      </c>
      <c r="L226" s="26" t="s">
        <v>300</v>
      </c>
      <c r="M226" s="10" t="s">
        <v>40</v>
      </c>
      <c r="N226" s="10" t="s">
        <v>41</v>
      </c>
      <c r="O226" s="10" t="s">
        <v>951</v>
      </c>
      <c r="P226" s="13" t="s">
        <v>33</v>
      </c>
      <c r="Q226" s="10" t="s">
        <v>34</v>
      </c>
      <c r="R226" s="10"/>
      <c r="S226" s="10"/>
      <c r="T226" s="27"/>
      <c r="U226" s="30">
        <v>13.810185185185187</v>
      </c>
      <c r="V226" s="30">
        <v>0</v>
      </c>
      <c r="W226" s="30">
        <v>0</v>
      </c>
      <c r="X226" s="28"/>
      <c r="Y226" s="9"/>
      <c r="Z226" s="9"/>
      <c r="AA226" s="27"/>
      <c r="AB226" s="29"/>
      <c r="AC226" s="29"/>
      <c r="AD226" s="14" t="s">
        <v>35</v>
      </c>
      <c r="AE226" s="29"/>
      <c r="AF226" s="29"/>
      <c r="AG226" s="29"/>
      <c r="AH226" s="29"/>
      <c r="AI226" s="28"/>
      <c r="AJ226" s="3" t="s">
        <v>42</v>
      </c>
      <c r="AK226" s="3" t="s">
        <v>43</v>
      </c>
    </row>
    <row r="227" spans="2:37" hidden="1" x14ac:dyDescent="0.3">
      <c r="B227" s="13"/>
      <c r="C227" s="10">
        <v>89</v>
      </c>
      <c r="D227" s="77" t="s">
        <v>1044</v>
      </c>
      <c r="E227" s="10"/>
      <c r="F227" s="10"/>
      <c r="G227" s="10"/>
      <c r="H227" s="10" t="s">
        <v>119</v>
      </c>
      <c r="I227" s="51" t="s">
        <v>327</v>
      </c>
      <c r="J227" s="10" t="s">
        <v>924</v>
      </c>
      <c r="K227" s="10" t="str">
        <f t="shared" si="8"/>
        <v>S2</v>
      </c>
      <c r="L227" s="26" t="s">
        <v>232</v>
      </c>
      <c r="M227" s="10" t="s">
        <v>40</v>
      </c>
      <c r="N227" s="10" t="s">
        <v>41</v>
      </c>
      <c r="O227" s="10" t="s">
        <v>948</v>
      </c>
      <c r="P227" s="13" t="s">
        <v>33</v>
      </c>
      <c r="Q227" s="10" t="s">
        <v>34</v>
      </c>
      <c r="R227" s="10"/>
      <c r="S227" s="10"/>
      <c r="T227" s="27"/>
      <c r="U227" s="30">
        <v>10.127492877492879</v>
      </c>
      <c r="V227" s="30">
        <v>0</v>
      </c>
      <c r="W227" s="30">
        <v>0</v>
      </c>
      <c r="X227" s="28"/>
      <c r="Y227" s="9"/>
      <c r="Z227" s="9"/>
      <c r="AA227" s="27"/>
      <c r="AB227" s="29"/>
      <c r="AC227" s="14" t="s">
        <v>35</v>
      </c>
      <c r="AD227" s="14" t="s">
        <v>35</v>
      </c>
      <c r="AE227" s="29"/>
      <c r="AF227" s="29"/>
      <c r="AG227" s="29"/>
      <c r="AH227" s="29"/>
      <c r="AI227" s="28"/>
      <c r="AJ227" s="3" t="s">
        <v>42</v>
      </c>
      <c r="AK227" s="3" t="s">
        <v>43</v>
      </c>
    </row>
    <row r="228" spans="2:37" ht="37.799999999999997" customHeight="1" x14ac:dyDescent="0.3">
      <c r="B228" s="13"/>
      <c r="C228" s="10">
        <v>90</v>
      </c>
      <c r="D228" s="76" t="s">
        <v>1043</v>
      </c>
      <c r="E228" s="10"/>
      <c r="F228" s="10"/>
      <c r="G228" s="10"/>
      <c r="H228" s="10" t="s">
        <v>119</v>
      </c>
      <c r="I228" s="51" t="s">
        <v>328</v>
      </c>
      <c r="J228" s="10" t="s">
        <v>329</v>
      </c>
      <c r="K228" s="10" t="str">
        <f t="shared" si="8"/>
        <v>S1</v>
      </c>
      <c r="L228" s="26" t="s">
        <v>330</v>
      </c>
      <c r="M228" s="10" t="s">
        <v>40</v>
      </c>
      <c r="N228" s="10" t="s">
        <v>40</v>
      </c>
      <c r="O228" s="10" t="s">
        <v>948</v>
      </c>
      <c r="P228" s="13" t="s">
        <v>331</v>
      </c>
      <c r="Q228" s="10" t="s">
        <v>34</v>
      </c>
      <c r="R228" s="10"/>
      <c r="S228" s="34" t="s">
        <v>332</v>
      </c>
      <c r="T228" s="27"/>
      <c r="U228" s="30">
        <v>74.802706552706553</v>
      </c>
      <c r="V228" s="30">
        <v>0</v>
      </c>
      <c r="W228" s="30">
        <v>0</v>
      </c>
      <c r="X228" s="28"/>
      <c r="Y228" s="9"/>
      <c r="Z228" s="9"/>
      <c r="AA228" s="27"/>
      <c r="AB228" s="29"/>
      <c r="AC228" s="14" t="s">
        <v>35</v>
      </c>
      <c r="AD228" s="14" t="s">
        <v>35</v>
      </c>
      <c r="AE228" s="29"/>
      <c r="AF228" s="29"/>
      <c r="AG228" s="29"/>
      <c r="AH228" s="29"/>
      <c r="AI228" s="28"/>
      <c r="AJ228" s="3" t="s">
        <v>42</v>
      </c>
    </row>
    <row r="229" spans="2:37" ht="37.799999999999997" customHeight="1" x14ac:dyDescent="0.3">
      <c r="B229" s="13"/>
      <c r="C229" s="10">
        <v>92</v>
      </c>
      <c r="D229" s="76" t="s">
        <v>1043</v>
      </c>
      <c r="E229" s="10"/>
      <c r="F229" s="10"/>
      <c r="G229" s="10"/>
      <c r="H229" s="10" t="s">
        <v>119</v>
      </c>
      <c r="I229" s="51" t="s">
        <v>337</v>
      </c>
      <c r="J229" s="10" t="s">
        <v>338</v>
      </c>
      <c r="K229" s="10" t="str">
        <f t="shared" si="8"/>
        <v>S1</v>
      </c>
      <c r="L229" s="26" t="s">
        <v>330</v>
      </c>
      <c r="M229" s="10" t="s">
        <v>40</v>
      </c>
      <c r="N229" s="10" t="s">
        <v>40</v>
      </c>
      <c r="O229" s="10" t="s">
        <v>948</v>
      </c>
      <c r="P229" s="13" t="s">
        <v>331</v>
      </c>
      <c r="Q229" s="10" t="s">
        <v>34</v>
      </c>
      <c r="R229" s="10"/>
      <c r="S229" s="34" t="s">
        <v>339</v>
      </c>
      <c r="T229" s="27"/>
      <c r="U229" s="30">
        <v>62.143874643874646</v>
      </c>
      <c r="V229" s="30">
        <v>0</v>
      </c>
      <c r="W229" s="30">
        <v>0</v>
      </c>
      <c r="X229" s="28"/>
      <c r="Y229" s="9"/>
      <c r="Z229" s="9"/>
      <c r="AA229" s="27"/>
      <c r="AB229" s="29"/>
      <c r="AC229" s="14" t="s">
        <v>35</v>
      </c>
      <c r="AD229" s="14" t="s">
        <v>35</v>
      </c>
      <c r="AE229" s="29"/>
      <c r="AF229" s="29"/>
      <c r="AG229" s="29"/>
      <c r="AH229" s="29"/>
      <c r="AI229" s="28"/>
      <c r="AJ229" s="3" t="s">
        <v>42</v>
      </c>
    </row>
    <row r="230" spans="2:37" hidden="1" x14ac:dyDescent="0.3">
      <c r="B230" s="13"/>
      <c r="C230" s="10">
        <v>184</v>
      </c>
      <c r="D230" s="77" t="s">
        <v>1044</v>
      </c>
      <c r="E230" s="10"/>
      <c r="F230" s="10"/>
      <c r="G230" s="10"/>
      <c r="H230" s="10" t="s">
        <v>119</v>
      </c>
      <c r="I230" s="51" t="s">
        <v>648</v>
      </c>
      <c r="J230" s="10" t="s">
        <v>649</v>
      </c>
      <c r="K230" s="10" t="str">
        <f t="shared" si="8"/>
        <v>S2</v>
      </c>
      <c r="L230" s="26" t="s">
        <v>244</v>
      </c>
      <c r="M230" s="10" t="s">
        <v>40</v>
      </c>
      <c r="N230" s="10" t="s">
        <v>41</v>
      </c>
      <c r="O230" s="10" t="s">
        <v>948</v>
      </c>
      <c r="P230" s="13" t="s">
        <v>33</v>
      </c>
      <c r="Q230" s="10" t="s">
        <v>34</v>
      </c>
      <c r="R230" s="10"/>
      <c r="S230" s="10"/>
      <c r="T230" s="27"/>
      <c r="U230" s="30">
        <v>0</v>
      </c>
      <c r="V230" s="30">
        <v>0</v>
      </c>
      <c r="W230" s="30">
        <v>0</v>
      </c>
      <c r="X230" s="28"/>
      <c r="Y230" s="9"/>
      <c r="Z230" s="9"/>
      <c r="AA230" s="27"/>
      <c r="AB230" s="29"/>
      <c r="AC230" s="14" t="s">
        <v>35</v>
      </c>
      <c r="AD230" s="14" t="s">
        <v>35</v>
      </c>
      <c r="AE230" s="29"/>
      <c r="AF230" s="29"/>
      <c r="AG230" s="29"/>
      <c r="AH230" s="29"/>
      <c r="AI230" s="28"/>
      <c r="AJ230" s="3" t="s">
        <v>42</v>
      </c>
    </row>
    <row r="231" spans="2:37" hidden="1" x14ac:dyDescent="0.3">
      <c r="B231" s="13"/>
      <c r="C231" s="10">
        <v>185</v>
      </c>
      <c r="D231" s="77" t="s">
        <v>1044</v>
      </c>
      <c r="E231" s="10"/>
      <c r="F231" s="10"/>
      <c r="G231" s="10"/>
      <c r="H231" s="10" t="s">
        <v>119</v>
      </c>
      <c r="I231" s="51" t="s">
        <v>650</v>
      </c>
      <c r="J231" s="10" t="s">
        <v>651</v>
      </c>
      <c r="K231" s="10" t="str">
        <f t="shared" si="8"/>
        <v>S2</v>
      </c>
      <c r="L231" s="26" t="s">
        <v>244</v>
      </c>
      <c r="M231" s="10" t="s">
        <v>40</v>
      </c>
      <c r="N231" s="10" t="s">
        <v>41</v>
      </c>
      <c r="O231" s="10" t="s">
        <v>948</v>
      </c>
      <c r="P231" s="13" t="s">
        <v>33</v>
      </c>
      <c r="Q231" s="10" t="s">
        <v>34</v>
      </c>
      <c r="R231" s="10"/>
      <c r="S231" s="10"/>
      <c r="T231" s="27"/>
      <c r="U231" s="30">
        <v>0</v>
      </c>
      <c r="V231" s="30">
        <v>0</v>
      </c>
      <c r="W231" s="30">
        <v>0</v>
      </c>
      <c r="X231" s="28"/>
      <c r="Y231" s="9"/>
      <c r="Z231" s="9"/>
      <c r="AA231" s="27"/>
      <c r="AB231" s="29"/>
      <c r="AC231" s="14" t="s">
        <v>35</v>
      </c>
      <c r="AD231" s="14" t="s">
        <v>35</v>
      </c>
      <c r="AE231" s="29"/>
      <c r="AF231" s="29"/>
      <c r="AG231" s="29"/>
      <c r="AH231" s="29"/>
      <c r="AI231" s="28"/>
      <c r="AJ231" s="3" t="s">
        <v>42</v>
      </c>
      <c r="AK231" s="3" t="s">
        <v>390</v>
      </c>
    </row>
    <row r="232" spans="2:37" hidden="1" x14ac:dyDescent="0.3">
      <c r="B232" s="13"/>
      <c r="C232" s="10">
        <v>186</v>
      </c>
      <c r="D232" s="77" t="s">
        <v>1044</v>
      </c>
      <c r="E232" s="10"/>
      <c r="F232" s="10"/>
      <c r="G232" s="10"/>
      <c r="H232" s="10" t="s">
        <v>119</v>
      </c>
      <c r="I232" s="51" t="s">
        <v>652</v>
      </c>
      <c r="J232" s="10" t="s">
        <v>653</v>
      </c>
      <c r="K232" s="10" t="str">
        <f t="shared" si="8"/>
        <v>S2</v>
      </c>
      <c r="L232" s="26" t="s">
        <v>232</v>
      </c>
      <c r="M232" s="10" t="s">
        <v>40</v>
      </c>
      <c r="N232" s="10" t="s">
        <v>41</v>
      </c>
      <c r="O232" s="10" t="s">
        <v>948</v>
      </c>
      <c r="P232" s="13" t="s">
        <v>33</v>
      </c>
      <c r="Q232" s="10" t="s">
        <v>34</v>
      </c>
      <c r="R232" s="10"/>
      <c r="S232" s="10"/>
      <c r="T232" s="27"/>
      <c r="U232" s="30">
        <v>6.4451566951566948</v>
      </c>
      <c r="V232" s="30">
        <v>0</v>
      </c>
      <c r="W232" s="30">
        <v>0</v>
      </c>
      <c r="X232" s="28"/>
      <c r="Y232" s="9"/>
      <c r="Z232" s="9"/>
      <c r="AA232" s="27"/>
      <c r="AB232" s="29"/>
      <c r="AC232" s="14" t="s">
        <v>35</v>
      </c>
      <c r="AD232" s="14" t="s">
        <v>35</v>
      </c>
      <c r="AE232" s="29"/>
      <c r="AF232" s="29"/>
      <c r="AG232" s="29"/>
      <c r="AH232" s="29"/>
      <c r="AI232" s="28"/>
      <c r="AJ232" s="3" t="s">
        <v>42</v>
      </c>
      <c r="AK232" s="3" t="s">
        <v>43</v>
      </c>
    </row>
    <row r="233" spans="2:37" hidden="1" x14ac:dyDescent="0.3">
      <c r="B233" s="13"/>
      <c r="C233" s="10">
        <v>187</v>
      </c>
      <c r="D233" s="77" t="s">
        <v>1044</v>
      </c>
      <c r="E233" s="10"/>
      <c r="F233" s="10"/>
      <c r="G233" s="10"/>
      <c r="H233" s="10" t="s">
        <v>119</v>
      </c>
      <c r="I233" s="51" t="s">
        <v>654</v>
      </c>
      <c r="J233" s="10" t="s">
        <v>655</v>
      </c>
      <c r="K233" s="10" t="str">
        <f t="shared" si="8"/>
        <v>S2</v>
      </c>
      <c r="L233" s="26" t="s">
        <v>656</v>
      </c>
      <c r="M233" s="10" t="s">
        <v>40</v>
      </c>
      <c r="N233" s="10" t="s">
        <v>41</v>
      </c>
      <c r="O233" s="10" t="s">
        <v>951</v>
      </c>
      <c r="P233" s="13" t="s">
        <v>33</v>
      </c>
      <c r="Q233" s="10" t="s">
        <v>34</v>
      </c>
      <c r="R233" s="10"/>
      <c r="S233" s="10"/>
      <c r="T233" s="27"/>
      <c r="U233" s="30">
        <v>24.85826210826211</v>
      </c>
      <c r="V233" s="30">
        <v>0</v>
      </c>
      <c r="W233" s="30">
        <v>0</v>
      </c>
      <c r="X233" s="28"/>
      <c r="Y233" s="9"/>
      <c r="Z233" s="9"/>
      <c r="AA233" s="27"/>
      <c r="AB233" s="29"/>
      <c r="AC233" s="29"/>
      <c r="AD233" s="14" t="s">
        <v>35</v>
      </c>
      <c r="AE233" s="29"/>
      <c r="AF233" s="29"/>
      <c r="AG233" s="29"/>
      <c r="AH233" s="29"/>
      <c r="AI233" s="28"/>
      <c r="AJ233" s="3" t="s">
        <v>42</v>
      </c>
      <c r="AK233" s="3" t="s">
        <v>390</v>
      </c>
    </row>
    <row r="234" spans="2:37" ht="28.2" hidden="1" customHeight="1" x14ac:dyDescent="0.3">
      <c r="B234" s="13"/>
      <c r="C234" s="10">
        <v>188</v>
      </c>
      <c r="D234" s="77" t="s">
        <v>1044</v>
      </c>
      <c r="E234" s="10"/>
      <c r="F234" s="10"/>
      <c r="G234" s="10"/>
      <c r="H234" s="10" t="s">
        <v>119</v>
      </c>
      <c r="I234" s="51" t="s">
        <v>657</v>
      </c>
      <c r="J234" s="10" t="s">
        <v>658</v>
      </c>
      <c r="K234" s="10" t="str">
        <f t="shared" si="8"/>
        <v>S2</v>
      </c>
      <c r="L234" s="26" t="s">
        <v>232</v>
      </c>
      <c r="M234" s="10" t="s">
        <v>40</v>
      </c>
      <c r="N234" s="10" t="s">
        <v>41</v>
      </c>
      <c r="O234" s="10" t="s">
        <v>948</v>
      </c>
      <c r="P234" s="13" t="s">
        <v>33</v>
      </c>
      <c r="Q234" s="10" t="s">
        <v>34</v>
      </c>
      <c r="R234" s="10"/>
      <c r="S234" s="10"/>
      <c r="T234" s="27"/>
      <c r="U234" s="30">
        <v>6.4451566951566948</v>
      </c>
      <c r="V234" s="30">
        <v>0</v>
      </c>
      <c r="W234" s="30">
        <v>0</v>
      </c>
      <c r="X234" s="28"/>
      <c r="Y234" s="9"/>
      <c r="Z234" s="9"/>
      <c r="AA234" s="27"/>
      <c r="AB234" s="29"/>
      <c r="AC234" s="14" t="s">
        <v>35</v>
      </c>
      <c r="AD234" s="14" t="s">
        <v>35</v>
      </c>
      <c r="AE234" s="29"/>
      <c r="AF234" s="29"/>
      <c r="AG234" s="29"/>
      <c r="AH234" s="29"/>
      <c r="AI234" s="28"/>
      <c r="AJ234" s="3" t="s">
        <v>42</v>
      </c>
      <c r="AK234" s="3" t="s">
        <v>390</v>
      </c>
    </row>
    <row r="235" spans="2:37" ht="28.2" hidden="1" customHeight="1" x14ac:dyDescent="0.3">
      <c r="B235" s="13"/>
      <c r="C235" s="10">
        <v>189</v>
      </c>
      <c r="D235" s="77" t="s">
        <v>1044</v>
      </c>
      <c r="E235" s="10"/>
      <c r="F235" s="10"/>
      <c r="G235" s="10"/>
      <c r="H235" s="10" t="s">
        <v>119</v>
      </c>
      <c r="I235" s="51" t="s">
        <v>659</v>
      </c>
      <c r="J235" s="10" t="s">
        <v>660</v>
      </c>
      <c r="K235" s="10" t="str">
        <f t="shared" si="8"/>
        <v>S2</v>
      </c>
      <c r="L235" s="26" t="s">
        <v>656</v>
      </c>
      <c r="M235" s="10" t="s">
        <v>40</v>
      </c>
      <c r="N235" s="10" t="s">
        <v>41</v>
      </c>
      <c r="O235" s="10" t="s">
        <v>951</v>
      </c>
      <c r="P235" s="13" t="s">
        <v>33</v>
      </c>
      <c r="Q235" s="10" t="s">
        <v>34</v>
      </c>
      <c r="R235" s="10"/>
      <c r="S235" s="10"/>
      <c r="T235" s="27"/>
      <c r="U235" s="30">
        <v>10.127492877492879</v>
      </c>
      <c r="V235" s="30">
        <v>0</v>
      </c>
      <c r="W235" s="30">
        <v>0</v>
      </c>
      <c r="X235" s="28"/>
      <c r="Y235" s="9"/>
      <c r="Z235" s="9"/>
      <c r="AA235" s="27"/>
      <c r="AB235" s="29"/>
      <c r="AC235" s="29"/>
      <c r="AD235" s="14" t="s">
        <v>35</v>
      </c>
      <c r="AE235" s="29"/>
      <c r="AF235" s="29"/>
      <c r="AG235" s="29"/>
      <c r="AH235" s="29"/>
      <c r="AI235" s="28"/>
      <c r="AJ235" s="3" t="s">
        <v>42</v>
      </c>
    </row>
    <row r="236" spans="2:37" ht="28.2" hidden="1" customHeight="1" x14ac:dyDescent="0.3">
      <c r="B236" s="13"/>
      <c r="C236" s="10">
        <v>190</v>
      </c>
      <c r="D236" s="77" t="s">
        <v>1044</v>
      </c>
      <c r="E236" s="10"/>
      <c r="F236" s="10"/>
      <c r="G236" s="10"/>
      <c r="H236" s="10" t="s">
        <v>119</v>
      </c>
      <c r="I236" s="51" t="s">
        <v>661</v>
      </c>
      <c r="J236" s="10" t="s">
        <v>662</v>
      </c>
      <c r="K236" s="10" t="str">
        <f t="shared" si="8"/>
        <v>S2</v>
      </c>
      <c r="L236" s="26" t="s">
        <v>232</v>
      </c>
      <c r="M236" s="10" t="s">
        <v>40</v>
      </c>
      <c r="N236" s="10" t="s">
        <v>41</v>
      </c>
      <c r="O236" s="10" t="s">
        <v>951</v>
      </c>
      <c r="P236" s="13" t="s">
        <v>33</v>
      </c>
      <c r="Q236" s="10" t="s">
        <v>34</v>
      </c>
      <c r="R236" s="10"/>
      <c r="S236" s="10"/>
      <c r="T236" s="27"/>
      <c r="U236" s="30">
        <v>7.3657407407407414</v>
      </c>
      <c r="V236" s="30">
        <v>0</v>
      </c>
      <c r="W236" s="30">
        <v>0</v>
      </c>
      <c r="X236" s="28"/>
      <c r="Y236" s="9"/>
      <c r="Z236" s="9"/>
      <c r="AA236" s="27"/>
      <c r="AB236" s="29"/>
      <c r="AC236" s="29"/>
      <c r="AD236" s="14" t="s">
        <v>35</v>
      </c>
      <c r="AE236" s="29"/>
      <c r="AF236" s="29"/>
      <c r="AG236" s="29"/>
      <c r="AH236" s="29"/>
      <c r="AI236" s="28"/>
      <c r="AJ236" s="3" t="s">
        <v>42</v>
      </c>
    </row>
    <row r="237" spans="2:37" s="41" customFormat="1" hidden="1" x14ac:dyDescent="0.3">
      <c r="B237" s="49"/>
      <c r="C237" s="42">
        <v>233</v>
      </c>
      <c r="D237" s="42"/>
      <c r="E237" s="42"/>
      <c r="F237" s="42"/>
      <c r="G237" s="42"/>
      <c r="H237" s="42" t="s">
        <v>109</v>
      </c>
      <c r="I237" s="42" t="s">
        <v>789</v>
      </c>
      <c r="J237" s="42" t="s">
        <v>790</v>
      </c>
      <c r="K237" s="42" t="str">
        <f t="shared" si="8"/>
        <v>S5</v>
      </c>
      <c r="L237" s="43" t="s">
        <v>791</v>
      </c>
      <c r="M237" s="42" t="s">
        <v>47</v>
      </c>
      <c r="N237" s="42" t="s">
        <v>181</v>
      </c>
      <c r="O237" s="52" t="s">
        <v>58</v>
      </c>
      <c r="P237" s="49" t="s">
        <v>213</v>
      </c>
      <c r="Q237" s="42" t="s">
        <v>1030</v>
      </c>
      <c r="R237" s="42"/>
      <c r="S237" s="44" t="s">
        <v>214</v>
      </c>
      <c r="T237" s="45"/>
      <c r="U237" s="46">
        <v>71.813034188034194</v>
      </c>
      <c r="V237" s="46">
        <v>0</v>
      </c>
      <c r="W237" s="46">
        <v>0</v>
      </c>
      <c r="X237" s="47"/>
      <c r="Y237" s="9"/>
      <c r="Z237" s="9"/>
      <c r="AA237" s="27"/>
      <c r="AB237" s="48"/>
      <c r="AC237" s="48"/>
      <c r="AD237" s="14" t="s">
        <v>35</v>
      </c>
      <c r="AE237" s="48"/>
      <c r="AF237" s="48"/>
      <c r="AG237" s="48"/>
      <c r="AH237" s="48"/>
      <c r="AI237" s="47"/>
      <c r="AJ237" s="44" t="s">
        <v>214</v>
      </c>
      <c r="AK237" s="44" t="s">
        <v>214</v>
      </c>
    </row>
    <row r="238" spans="2:37" s="41" customFormat="1" ht="28.8" hidden="1" x14ac:dyDescent="0.3">
      <c r="B238" s="42"/>
      <c r="C238" s="42">
        <v>234</v>
      </c>
      <c r="D238" s="42"/>
      <c r="E238" s="42"/>
      <c r="F238" s="42"/>
      <c r="G238" s="42"/>
      <c r="H238" s="42" t="s">
        <v>109</v>
      </c>
      <c r="I238" s="42" t="s">
        <v>792</v>
      </c>
      <c r="J238" s="42" t="s">
        <v>793</v>
      </c>
      <c r="K238" s="42" t="str">
        <f t="shared" si="8"/>
        <v>S5</v>
      </c>
      <c r="L238" s="43" t="s">
        <v>794</v>
      </c>
      <c r="M238" s="42" t="s">
        <v>47</v>
      </c>
      <c r="N238" s="42" t="s">
        <v>222</v>
      </c>
      <c r="O238" s="52" t="s">
        <v>58</v>
      </c>
      <c r="P238" s="49" t="s">
        <v>213</v>
      </c>
      <c r="Q238" s="42" t="s">
        <v>1030</v>
      </c>
      <c r="R238" s="42"/>
      <c r="S238" s="44" t="s">
        <v>214</v>
      </c>
      <c r="T238" s="45"/>
      <c r="U238" s="46">
        <v>129.8158831908832</v>
      </c>
      <c r="V238" s="46">
        <v>0</v>
      </c>
      <c r="W238" s="46">
        <v>5.459997704315886</v>
      </c>
      <c r="X238" s="47"/>
      <c r="Y238" s="9"/>
      <c r="Z238" s="9"/>
      <c r="AA238" s="27"/>
      <c r="AB238" s="48"/>
      <c r="AC238" s="48"/>
      <c r="AD238" s="14" t="s">
        <v>35</v>
      </c>
      <c r="AE238" s="48"/>
      <c r="AF238" s="48"/>
      <c r="AG238" s="14" t="s">
        <v>35</v>
      </c>
      <c r="AH238" s="48"/>
      <c r="AI238" s="47"/>
      <c r="AJ238" s="44" t="s">
        <v>214</v>
      </c>
      <c r="AK238" s="44" t="s">
        <v>214</v>
      </c>
    </row>
    <row r="239" spans="2:37" ht="28.2" hidden="1" customHeight="1" x14ac:dyDescent="0.3">
      <c r="B239" s="13"/>
      <c r="C239" s="10">
        <v>191</v>
      </c>
      <c r="D239" s="77" t="s">
        <v>1044</v>
      </c>
      <c r="E239" s="10"/>
      <c r="F239" s="10"/>
      <c r="G239" s="10"/>
      <c r="H239" s="10" t="s">
        <v>119</v>
      </c>
      <c r="I239" s="51" t="s">
        <v>663</v>
      </c>
      <c r="J239" s="10" t="s">
        <v>664</v>
      </c>
      <c r="K239" s="10" t="str">
        <f t="shared" si="8"/>
        <v>S2</v>
      </c>
      <c r="L239" s="26" t="s">
        <v>232</v>
      </c>
      <c r="M239" s="10" t="s">
        <v>40</v>
      </c>
      <c r="N239" s="10" t="s">
        <v>41</v>
      </c>
      <c r="O239" s="10" t="s">
        <v>955</v>
      </c>
      <c r="P239" s="13" t="s">
        <v>33</v>
      </c>
      <c r="Q239" s="10" t="s">
        <v>34</v>
      </c>
      <c r="R239" s="10"/>
      <c r="S239" s="10"/>
      <c r="T239" s="27"/>
      <c r="U239" s="30">
        <v>10.127492877492879</v>
      </c>
      <c r="V239" s="30">
        <v>0</v>
      </c>
      <c r="W239" s="30">
        <v>0</v>
      </c>
      <c r="X239" s="28"/>
      <c r="Y239" s="9"/>
      <c r="Z239" s="9"/>
      <c r="AA239" s="27"/>
      <c r="AB239" s="14" t="s">
        <v>35</v>
      </c>
      <c r="AC239" s="29"/>
      <c r="AD239" s="14" t="s">
        <v>35</v>
      </c>
      <c r="AE239" s="29"/>
      <c r="AF239" s="29"/>
      <c r="AG239" s="29"/>
      <c r="AH239" s="29"/>
      <c r="AI239" s="28"/>
      <c r="AJ239" s="3" t="s">
        <v>42</v>
      </c>
      <c r="AK239" s="3" t="s">
        <v>641</v>
      </c>
    </row>
    <row r="240" spans="2:37" ht="28.2" hidden="1" customHeight="1" x14ac:dyDescent="0.3">
      <c r="B240" s="13"/>
      <c r="C240" s="10">
        <v>192</v>
      </c>
      <c r="D240" s="77" t="s">
        <v>1044</v>
      </c>
      <c r="E240" s="10"/>
      <c r="F240" s="10"/>
      <c r="G240" s="10"/>
      <c r="H240" s="10" t="s">
        <v>119</v>
      </c>
      <c r="I240" s="51" t="s">
        <v>665</v>
      </c>
      <c r="J240" s="10" t="s">
        <v>666</v>
      </c>
      <c r="K240" s="10" t="str">
        <f t="shared" si="8"/>
        <v>S2</v>
      </c>
      <c r="L240" s="26" t="s">
        <v>232</v>
      </c>
      <c r="M240" s="10" t="s">
        <v>40</v>
      </c>
      <c r="N240" s="10" t="s">
        <v>41</v>
      </c>
      <c r="O240" s="10" t="s">
        <v>955</v>
      </c>
      <c r="P240" s="13" t="s">
        <v>33</v>
      </c>
      <c r="Q240" s="10" t="s">
        <v>34</v>
      </c>
      <c r="R240" s="10"/>
      <c r="S240" s="10"/>
      <c r="T240" s="27"/>
      <c r="U240" s="30">
        <v>15.651709401709402</v>
      </c>
      <c r="V240" s="30">
        <v>0</v>
      </c>
      <c r="W240" s="30">
        <v>0</v>
      </c>
      <c r="X240" s="28"/>
      <c r="Y240" s="9"/>
      <c r="Z240" s="9"/>
      <c r="AA240" s="27"/>
      <c r="AB240" s="14" t="s">
        <v>35</v>
      </c>
      <c r="AC240" s="29"/>
      <c r="AD240" s="14" t="s">
        <v>35</v>
      </c>
      <c r="AE240" s="29"/>
      <c r="AF240" s="29"/>
      <c r="AG240" s="29"/>
      <c r="AH240" s="29"/>
      <c r="AI240" s="28"/>
      <c r="AJ240" s="3" t="s">
        <v>42</v>
      </c>
      <c r="AK240" s="3" t="s">
        <v>641</v>
      </c>
    </row>
    <row r="241" spans="2:37" ht="28.2" hidden="1" customHeight="1" x14ac:dyDescent="0.3">
      <c r="B241" s="13"/>
      <c r="C241" s="10">
        <v>193</v>
      </c>
      <c r="D241" s="77" t="s">
        <v>1044</v>
      </c>
      <c r="E241" s="10"/>
      <c r="F241" s="10"/>
      <c r="G241" s="10"/>
      <c r="H241" s="10" t="s">
        <v>119</v>
      </c>
      <c r="I241" s="51" t="s">
        <v>667</v>
      </c>
      <c r="J241" s="10" t="s">
        <v>668</v>
      </c>
      <c r="K241" s="10" t="str">
        <f t="shared" si="8"/>
        <v>S2</v>
      </c>
      <c r="L241" s="26" t="s">
        <v>244</v>
      </c>
      <c r="M241" s="10" t="s">
        <v>40</v>
      </c>
      <c r="N241" s="10" t="s">
        <v>41</v>
      </c>
      <c r="O241" s="10" t="s">
        <v>948</v>
      </c>
      <c r="P241" s="13" t="s">
        <v>33</v>
      </c>
      <c r="Q241" s="10" t="s">
        <v>34</v>
      </c>
      <c r="R241" s="10"/>
      <c r="S241" s="10"/>
      <c r="T241" s="27"/>
      <c r="U241" s="30">
        <v>0</v>
      </c>
      <c r="V241" s="30">
        <v>0</v>
      </c>
      <c r="W241" s="30">
        <v>0</v>
      </c>
      <c r="X241" s="28"/>
      <c r="Y241" s="9"/>
      <c r="Z241" s="9"/>
      <c r="AA241" s="27"/>
      <c r="AB241" s="29"/>
      <c r="AC241" s="14" t="s">
        <v>35</v>
      </c>
      <c r="AD241" s="14" t="s">
        <v>35</v>
      </c>
      <c r="AE241" s="29"/>
      <c r="AF241" s="29"/>
      <c r="AG241" s="29"/>
      <c r="AH241" s="29"/>
      <c r="AI241" s="28"/>
      <c r="AJ241" s="3" t="s">
        <v>42</v>
      </c>
      <c r="AK241" s="3" t="s">
        <v>641</v>
      </c>
    </row>
    <row r="242" spans="2:37" ht="28.2" hidden="1" customHeight="1" x14ac:dyDescent="0.3">
      <c r="B242" s="13"/>
      <c r="C242" s="10">
        <v>194</v>
      </c>
      <c r="D242" s="77" t="s">
        <v>1044</v>
      </c>
      <c r="E242" s="10"/>
      <c r="F242" s="10"/>
      <c r="G242" s="10"/>
      <c r="H242" s="10" t="s">
        <v>119</v>
      </c>
      <c r="I242" s="51" t="s">
        <v>669</v>
      </c>
      <c r="J242" s="10" t="s">
        <v>670</v>
      </c>
      <c r="K242" s="10" t="str">
        <f t="shared" si="8"/>
        <v>S2</v>
      </c>
      <c r="L242" s="26" t="s">
        <v>244</v>
      </c>
      <c r="M242" s="10" t="s">
        <v>40</v>
      </c>
      <c r="N242" s="10" t="s">
        <v>41</v>
      </c>
      <c r="O242" s="10" t="s">
        <v>948</v>
      </c>
      <c r="P242" s="13" t="s">
        <v>33</v>
      </c>
      <c r="Q242" s="10" t="s">
        <v>34</v>
      </c>
      <c r="R242" s="10"/>
      <c r="S242" s="10"/>
      <c r="T242" s="27"/>
      <c r="U242" s="30">
        <v>0</v>
      </c>
      <c r="V242" s="30">
        <v>0</v>
      </c>
      <c r="W242" s="30">
        <v>0</v>
      </c>
      <c r="X242" s="28"/>
      <c r="Y242" s="9"/>
      <c r="Z242" s="9"/>
      <c r="AA242" s="27"/>
      <c r="AB242" s="29"/>
      <c r="AC242" s="14" t="s">
        <v>35</v>
      </c>
      <c r="AD242" s="14" t="s">
        <v>35</v>
      </c>
      <c r="AE242" s="29"/>
      <c r="AF242" s="29"/>
      <c r="AG242" s="29"/>
      <c r="AH242" s="29"/>
      <c r="AI242" s="28"/>
      <c r="AJ242" s="3" t="s">
        <v>42</v>
      </c>
      <c r="AK242" s="3" t="s">
        <v>641</v>
      </c>
    </row>
    <row r="243" spans="2:37" ht="28.2" hidden="1" customHeight="1" x14ac:dyDescent="0.3">
      <c r="B243" s="13"/>
      <c r="C243" s="10">
        <v>195</v>
      </c>
      <c r="D243" s="77" t="s">
        <v>1044</v>
      </c>
      <c r="E243" s="10"/>
      <c r="F243" s="10"/>
      <c r="G243" s="10"/>
      <c r="H243" s="10" t="s">
        <v>119</v>
      </c>
      <c r="I243" s="51" t="s">
        <v>671</v>
      </c>
      <c r="J243" s="10" t="s">
        <v>672</v>
      </c>
      <c r="K243" s="10" t="str">
        <f t="shared" si="8"/>
        <v>S2</v>
      </c>
      <c r="L243" s="26" t="s">
        <v>244</v>
      </c>
      <c r="M243" s="10" t="s">
        <v>40</v>
      </c>
      <c r="N243" s="10" t="s">
        <v>41</v>
      </c>
      <c r="O243" s="10" t="s">
        <v>948</v>
      </c>
      <c r="P243" s="13" t="s">
        <v>33</v>
      </c>
      <c r="Q243" s="10" t="s">
        <v>34</v>
      </c>
      <c r="R243" s="10"/>
      <c r="S243" s="10"/>
      <c r="T243" s="27"/>
      <c r="U243" s="30">
        <v>0</v>
      </c>
      <c r="V243" s="30">
        <v>0</v>
      </c>
      <c r="W243" s="30">
        <v>0</v>
      </c>
      <c r="X243" s="28"/>
      <c r="Y243" s="9"/>
      <c r="Z243" s="9"/>
      <c r="AA243" s="27"/>
      <c r="AB243" s="29"/>
      <c r="AC243" s="14" t="s">
        <v>35</v>
      </c>
      <c r="AD243" s="14" t="s">
        <v>35</v>
      </c>
      <c r="AE243" s="29"/>
      <c r="AF243" s="29"/>
      <c r="AG243" s="29"/>
      <c r="AH243" s="29"/>
      <c r="AI243" s="28"/>
      <c r="AJ243" s="3" t="s">
        <v>42</v>
      </c>
      <c r="AK243" s="3" t="s">
        <v>43</v>
      </c>
    </row>
    <row r="244" spans="2:37" ht="28.2" hidden="1" customHeight="1" x14ac:dyDescent="0.3">
      <c r="B244" s="13"/>
      <c r="C244" s="10">
        <v>196</v>
      </c>
      <c r="D244" s="77" t="s">
        <v>1044</v>
      </c>
      <c r="E244" s="10"/>
      <c r="F244" s="10"/>
      <c r="G244" s="10"/>
      <c r="H244" s="10" t="s">
        <v>119</v>
      </c>
      <c r="I244" s="51" t="s">
        <v>673</v>
      </c>
      <c r="J244" s="10" t="s">
        <v>674</v>
      </c>
      <c r="K244" s="10" t="str">
        <f t="shared" si="8"/>
        <v>S2</v>
      </c>
      <c r="L244" s="26" t="s">
        <v>244</v>
      </c>
      <c r="M244" s="10" t="s">
        <v>40</v>
      </c>
      <c r="N244" s="10" t="s">
        <v>41</v>
      </c>
      <c r="O244" s="10" t="s">
        <v>948</v>
      </c>
      <c r="P244" s="13" t="s">
        <v>33</v>
      </c>
      <c r="Q244" s="10" t="s">
        <v>34</v>
      </c>
      <c r="R244" s="10"/>
      <c r="S244" s="10"/>
      <c r="T244" s="27"/>
      <c r="U244" s="30">
        <v>0</v>
      </c>
      <c r="V244" s="30">
        <v>0</v>
      </c>
      <c r="W244" s="30">
        <v>0</v>
      </c>
      <c r="X244" s="28"/>
      <c r="Y244" s="9"/>
      <c r="Z244" s="9"/>
      <c r="AA244" s="27"/>
      <c r="AB244" s="29"/>
      <c r="AC244" s="14" t="s">
        <v>35</v>
      </c>
      <c r="AD244" s="14" t="s">
        <v>35</v>
      </c>
      <c r="AE244" s="29"/>
      <c r="AF244" s="29"/>
      <c r="AG244" s="29"/>
      <c r="AH244" s="29"/>
      <c r="AI244" s="28"/>
      <c r="AJ244" s="3" t="s">
        <v>42</v>
      </c>
      <c r="AK244" s="3" t="s">
        <v>43</v>
      </c>
    </row>
    <row r="245" spans="2:37" ht="28.2" hidden="1" customHeight="1" x14ac:dyDescent="0.3">
      <c r="B245" s="13"/>
      <c r="C245" s="10">
        <v>197</v>
      </c>
      <c r="D245" s="77" t="s">
        <v>1044</v>
      </c>
      <c r="E245" s="10"/>
      <c r="F245" s="10"/>
      <c r="G245" s="10"/>
      <c r="H245" s="10" t="s">
        <v>119</v>
      </c>
      <c r="I245" s="51" t="s">
        <v>675</v>
      </c>
      <c r="J245" s="10" t="s">
        <v>676</v>
      </c>
      <c r="K245" s="10" t="str">
        <f t="shared" si="8"/>
        <v>S2</v>
      </c>
      <c r="L245" s="26" t="s">
        <v>300</v>
      </c>
      <c r="M245" s="10" t="s">
        <v>40</v>
      </c>
      <c r="N245" s="10" t="s">
        <v>41</v>
      </c>
      <c r="O245" s="10" t="s">
        <v>948</v>
      </c>
      <c r="P245" s="13" t="s">
        <v>33</v>
      </c>
      <c r="Q245" s="10" t="s">
        <v>34</v>
      </c>
      <c r="R245" s="10"/>
      <c r="S245" s="10"/>
      <c r="T245" s="27"/>
      <c r="U245" s="30">
        <v>12.88960113960114</v>
      </c>
      <c r="V245" s="30">
        <v>0</v>
      </c>
      <c r="W245" s="30">
        <v>0</v>
      </c>
      <c r="X245" s="28"/>
      <c r="Y245" s="9"/>
      <c r="Z245" s="9"/>
      <c r="AA245" s="27"/>
      <c r="AB245" s="29"/>
      <c r="AC245" s="14" t="s">
        <v>35</v>
      </c>
      <c r="AD245" s="14" t="s">
        <v>35</v>
      </c>
      <c r="AE245" s="29"/>
      <c r="AF245" s="29"/>
      <c r="AG245" s="29"/>
      <c r="AH245" s="29"/>
      <c r="AI245" s="28"/>
      <c r="AJ245" s="3" t="s">
        <v>42</v>
      </c>
      <c r="AK245" s="3" t="s">
        <v>43</v>
      </c>
    </row>
    <row r="246" spans="2:37" ht="28.2" hidden="1" customHeight="1" x14ac:dyDescent="0.3">
      <c r="B246" s="13"/>
      <c r="C246" s="10">
        <v>198</v>
      </c>
      <c r="D246" s="77" t="s">
        <v>1044</v>
      </c>
      <c r="E246" s="10"/>
      <c r="F246" s="10"/>
      <c r="G246" s="10"/>
      <c r="H246" s="10" t="s">
        <v>119</v>
      </c>
      <c r="I246" s="51" t="s">
        <v>677</v>
      </c>
      <c r="J246" s="10" t="s">
        <v>678</v>
      </c>
      <c r="K246" s="10" t="str">
        <f t="shared" si="8"/>
        <v>S2</v>
      </c>
      <c r="L246" s="26" t="s">
        <v>244</v>
      </c>
      <c r="M246" s="10" t="s">
        <v>40</v>
      </c>
      <c r="N246" s="10" t="s">
        <v>41</v>
      </c>
      <c r="O246" s="10" t="s">
        <v>948</v>
      </c>
      <c r="P246" s="13" t="s">
        <v>33</v>
      </c>
      <c r="Q246" s="10" t="s">
        <v>34</v>
      </c>
      <c r="R246" s="10"/>
      <c r="S246" s="10"/>
      <c r="T246" s="27"/>
      <c r="U246" s="30">
        <v>0</v>
      </c>
      <c r="V246" s="30">
        <v>0</v>
      </c>
      <c r="W246" s="30">
        <v>0</v>
      </c>
      <c r="X246" s="28"/>
      <c r="Y246" s="9"/>
      <c r="Z246" s="9"/>
      <c r="AA246" s="27"/>
      <c r="AB246" s="29"/>
      <c r="AC246" s="14" t="s">
        <v>35</v>
      </c>
      <c r="AD246" s="14" t="s">
        <v>35</v>
      </c>
      <c r="AE246" s="29"/>
      <c r="AF246" s="29"/>
      <c r="AG246" s="29"/>
      <c r="AH246" s="29"/>
      <c r="AI246" s="28"/>
      <c r="AJ246" s="3" t="s">
        <v>42</v>
      </c>
      <c r="AK246" s="3" t="s">
        <v>43</v>
      </c>
    </row>
    <row r="247" spans="2:37" ht="28.2" hidden="1" customHeight="1" x14ac:dyDescent="0.3">
      <c r="B247" s="13"/>
      <c r="C247" s="10">
        <v>199</v>
      </c>
      <c r="D247" s="77" t="s">
        <v>1044</v>
      </c>
      <c r="E247" s="10"/>
      <c r="F247" s="10"/>
      <c r="G247" s="10"/>
      <c r="H247" s="10" t="s">
        <v>119</v>
      </c>
      <c r="I247" s="51" t="s">
        <v>679</v>
      </c>
      <c r="J247" s="10" t="s">
        <v>680</v>
      </c>
      <c r="K247" s="10" t="str">
        <f t="shared" si="8"/>
        <v>S2</v>
      </c>
      <c r="L247" s="26" t="s">
        <v>232</v>
      </c>
      <c r="M247" s="10" t="s">
        <v>40</v>
      </c>
      <c r="N247" s="10" t="s">
        <v>41</v>
      </c>
      <c r="O247" s="10" t="s">
        <v>948</v>
      </c>
      <c r="P247" s="13" t="s">
        <v>33</v>
      </c>
      <c r="Q247" s="10" t="s">
        <v>34</v>
      </c>
      <c r="R247" s="10"/>
      <c r="S247" s="10"/>
      <c r="T247" s="27"/>
      <c r="U247" s="30">
        <v>6.4451566951566948</v>
      </c>
      <c r="V247" s="30">
        <v>0</v>
      </c>
      <c r="W247" s="30">
        <v>0</v>
      </c>
      <c r="X247" s="28"/>
      <c r="Y247" s="9"/>
      <c r="Z247" s="9"/>
      <c r="AA247" s="27"/>
      <c r="AB247" s="29"/>
      <c r="AC247" s="14" t="s">
        <v>35</v>
      </c>
      <c r="AD247" s="14" t="s">
        <v>35</v>
      </c>
      <c r="AE247" s="29"/>
      <c r="AF247" s="29"/>
      <c r="AG247" s="29"/>
      <c r="AH247" s="29"/>
      <c r="AI247" s="28"/>
      <c r="AJ247" s="3" t="s">
        <v>42</v>
      </c>
      <c r="AK247" s="3" t="s">
        <v>43</v>
      </c>
    </row>
    <row r="248" spans="2:37" hidden="1" x14ac:dyDescent="0.3">
      <c r="B248" s="13"/>
      <c r="C248" s="10">
        <v>200</v>
      </c>
      <c r="D248" s="77" t="s">
        <v>1044</v>
      </c>
      <c r="E248" s="10"/>
      <c r="F248" s="10"/>
      <c r="G248" s="10"/>
      <c r="H248" s="10" t="s">
        <v>119</v>
      </c>
      <c r="I248" s="51" t="s">
        <v>681</v>
      </c>
      <c r="J248" s="10" t="s">
        <v>682</v>
      </c>
      <c r="K248" s="10" t="str">
        <f t="shared" si="8"/>
        <v>S2</v>
      </c>
      <c r="L248" s="26" t="s">
        <v>244</v>
      </c>
      <c r="M248" s="10" t="s">
        <v>40</v>
      </c>
      <c r="N248" s="10" t="s">
        <v>41</v>
      </c>
      <c r="O248" s="10" t="s">
        <v>948</v>
      </c>
      <c r="P248" s="13" t="s">
        <v>33</v>
      </c>
      <c r="Q248" s="10" t="s">
        <v>34</v>
      </c>
      <c r="R248" s="10"/>
      <c r="S248" s="10"/>
      <c r="T248" s="27"/>
      <c r="U248" s="30">
        <v>3.6826923076923079</v>
      </c>
      <c r="V248" s="30">
        <v>0</v>
      </c>
      <c r="W248" s="30">
        <v>0</v>
      </c>
      <c r="X248" s="28"/>
      <c r="Y248" s="9"/>
      <c r="Z248" s="9"/>
      <c r="AA248" s="27"/>
      <c r="AB248" s="29"/>
      <c r="AC248" s="14" t="s">
        <v>35</v>
      </c>
      <c r="AD248" s="14" t="s">
        <v>35</v>
      </c>
      <c r="AE248" s="29"/>
      <c r="AF248" s="29"/>
      <c r="AG248" s="29"/>
      <c r="AH248" s="29"/>
      <c r="AI248" s="28"/>
      <c r="AJ248" s="3" t="s">
        <v>35</v>
      </c>
      <c r="AK248" s="3" t="s">
        <v>59</v>
      </c>
    </row>
    <row r="249" spans="2:37" hidden="1" x14ac:dyDescent="0.3">
      <c r="B249" s="13"/>
      <c r="C249" s="10">
        <v>201</v>
      </c>
      <c r="D249" s="77" t="s">
        <v>1044</v>
      </c>
      <c r="E249" s="10"/>
      <c r="F249" s="10"/>
      <c r="G249" s="10"/>
      <c r="H249" s="10" t="s">
        <v>119</v>
      </c>
      <c r="I249" s="51" t="s">
        <v>683</v>
      </c>
      <c r="J249" s="10" t="s">
        <v>684</v>
      </c>
      <c r="K249" s="10" t="str">
        <f t="shared" si="8"/>
        <v>S2</v>
      </c>
      <c r="L249" s="26" t="s">
        <v>232</v>
      </c>
      <c r="M249" s="10" t="s">
        <v>40</v>
      </c>
      <c r="N249" s="10" t="s">
        <v>41</v>
      </c>
      <c r="O249" s="10" t="s">
        <v>948</v>
      </c>
      <c r="P249" s="13" t="s">
        <v>33</v>
      </c>
      <c r="Q249" s="10" t="s">
        <v>34</v>
      </c>
      <c r="R249" s="10"/>
      <c r="S249" s="10"/>
      <c r="T249" s="27"/>
      <c r="U249" s="30">
        <v>4.6036324786324796</v>
      </c>
      <c r="V249" s="30">
        <v>0</v>
      </c>
      <c r="W249" s="30">
        <v>0</v>
      </c>
      <c r="X249" s="28"/>
      <c r="Y249" s="9"/>
      <c r="Z249" s="9"/>
      <c r="AA249" s="27"/>
      <c r="AB249" s="29"/>
      <c r="AC249" s="14" t="s">
        <v>35</v>
      </c>
      <c r="AD249" s="14" t="s">
        <v>35</v>
      </c>
      <c r="AE249" s="29"/>
      <c r="AF249" s="29"/>
      <c r="AG249" s="29"/>
      <c r="AH249" s="29"/>
      <c r="AI249" s="28"/>
      <c r="AJ249" s="3" t="s">
        <v>35</v>
      </c>
      <c r="AK249" s="3" t="s">
        <v>59</v>
      </c>
    </row>
    <row r="250" spans="2:37" ht="28.2" hidden="1" customHeight="1" x14ac:dyDescent="0.3">
      <c r="B250" s="13"/>
      <c r="C250" s="10">
        <v>103</v>
      </c>
      <c r="D250" s="77" t="s">
        <v>1044</v>
      </c>
      <c r="E250" s="10"/>
      <c r="F250" s="10"/>
      <c r="G250" s="10"/>
      <c r="H250" s="10" t="s">
        <v>119</v>
      </c>
      <c r="I250" s="10" t="s">
        <v>377</v>
      </c>
      <c r="J250" s="10" t="s">
        <v>378</v>
      </c>
      <c r="K250" s="10" t="str">
        <f t="shared" si="8"/>
        <v>S1</v>
      </c>
      <c r="L250" s="26" t="s">
        <v>379</v>
      </c>
      <c r="M250" s="10" t="s">
        <v>40</v>
      </c>
      <c r="N250" s="10" t="s">
        <v>380</v>
      </c>
      <c r="O250" s="10" t="s">
        <v>968</v>
      </c>
      <c r="P250" s="13" t="s">
        <v>33</v>
      </c>
      <c r="Q250" s="10" t="s">
        <v>34</v>
      </c>
      <c r="R250" s="10"/>
      <c r="S250" s="10" t="s">
        <v>381</v>
      </c>
      <c r="T250" s="27"/>
      <c r="U250" s="30">
        <v>0</v>
      </c>
      <c r="V250" s="30">
        <v>3.9062084111873658</v>
      </c>
      <c r="W250" s="30">
        <v>0</v>
      </c>
      <c r="X250" s="28"/>
      <c r="Y250" s="9"/>
      <c r="Z250" s="9"/>
      <c r="AA250" s="27"/>
      <c r="AB250" s="29"/>
      <c r="AC250" s="14" t="s">
        <v>35</v>
      </c>
      <c r="AD250" s="14" t="s">
        <v>35</v>
      </c>
      <c r="AE250" s="14" t="s">
        <v>35</v>
      </c>
      <c r="AF250" s="29"/>
      <c r="AG250" s="29"/>
      <c r="AH250" s="29"/>
      <c r="AI250" s="28"/>
      <c r="AJ250" s="3" t="s">
        <v>42</v>
      </c>
    </row>
    <row r="251" spans="2:37" ht="28.2" hidden="1" customHeight="1" x14ac:dyDescent="0.3">
      <c r="B251" s="13"/>
      <c r="C251" s="10">
        <v>205</v>
      </c>
      <c r="D251" s="77" t="s">
        <v>1044</v>
      </c>
      <c r="E251" s="10"/>
      <c r="F251" s="10"/>
      <c r="G251" s="10"/>
      <c r="H251" s="10" t="s">
        <v>119</v>
      </c>
      <c r="I251" s="51" t="s">
        <v>697</v>
      </c>
      <c r="J251" s="10" t="s">
        <v>698</v>
      </c>
      <c r="K251" s="10" t="str">
        <f t="shared" si="8"/>
        <v>S2</v>
      </c>
      <c r="L251" s="26" t="s">
        <v>699</v>
      </c>
      <c r="M251" s="10" t="s">
        <v>40</v>
      </c>
      <c r="N251" s="10" t="s">
        <v>700</v>
      </c>
      <c r="O251" s="10" t="s">
        <v>968</v>
      </c>
      <c r="P251" s="13" t="s">
        <v>33</v>
      </c>
      <c r="Q251" s="10" t="s">
        <v>34</v>
      </c>
      <c r="R251" s="10"/>
      <c r="S251" s="10" t="s">
        <v>381</v>
      </c>
      <c r="T251" s="27"/>
      <c r="U251" s="30">
        <v>0</v>
      </c>
      <c r="V251" s="30">
        <v>3.9062084111873658</v>
      </c>
      <c r="W251" s="30">
        <v>0</v>
      </c>
      <c r="X251" s="28"/>
      <c r="Y251" s="9"/>
      <c r="Z251" s="9"/>
      <c r="AA251" s="27"/>
      <c r="AB251" s="29"/>
      <c r="AC251" s="14" t="s">
        <v>35</v>
      </c>
      <c r="AD251" s="14" t="s">
        <v>35</v>
      </c>
      <c r="AE251" s="14" t="s">
        <v>35</v>
      </c>
      <c r="AF251" s="29"/>
      <c r="AG251" s="29"/>
      <c r="AH251" s="29"/>
      <c r="AI251" s="28"/>
      <c r="AJ251" s="3" t="s">
        <v>42</v>
      </c>
      <c r="AK251" s="3" t="s">
        <v>43</v>
      </c>
    </row>
    <row r="252" spans="2:37" ht="28.2" hidden="1" customHeight="1" x14ac:dyDescent="0.3">
      <c r="B252" s="13"/>
      <c r="C252" s="10">
        <v>206</v>
      </c>
      <c r="D252" s="77" t="s">
        <v>1044</v>
      </c>
      <c r="E252" s="10"/>
      <c r="F252" s="10"/>
      <c r="G252" s="10"/>
      <c r="H252" s="10" t="s">
        <v>119</v>
      </c>
      <c r="I252" s="51" t="s">
        <v>701</v>
      </c>
      <c r="J252" s="10" t="s">
        <v>702</v>
      </c>
      <c r="K252" s="10" t="str">
        <f t="shared" si="8"/>
        <v>S2</v>
      </c>
      <c r="L252" s="26" t="s">
        <v>703</v>
      </c>
      <c r="M252" s="10" t="s">
        <v>40</v>
      </c>
      <c r="N252" s="10" t="s">
        <v>700</v>
      </c>
      <c r="O252" s="10" t="s">
        <v>968</v>
      </c>
      <c r="P252" s="13" t="s">
        <v>33</v>
      </c>
      <c r="Q252" s="10" t="s">
        <v>34</v>
      </c>
      <c r="R252" s="10"/>
      <c r="S252" s="10" t="s">
        <v>381</v>
      </c>
      <c r="T252" s="27"/>
      <c r="U252" s="30">
        <v>0</v>
      </c>
      <c r="V252" s="30">
        <v>3.9062084111873658</v>
      </c>
      <c r="W252" s="30">
        <v>0</v>
      </c>
      <c r="X252" s="28"/>
      <c r="Y252" s="9"/>
      <c r="Z252" s="9"/>
      <c r="AA252" s="27"/>
      <c r="AB252" s="29"/>
      <c r="AC252" s="14" t="s">
        <v>35</v>
      </c>
      <c r="AD252" s="14" t="s">
        <v>35</v>
      </c>
      <c r="AE252" s="14" t="s">
        <v>35</v>
      </c>
      <c r="AF252" s="29"/>
      <c r="AG252" s="29"/>
      <c r="AH252" s="29"/>
      <c r="AI252" s="28"/>
      <c r="AJ252" s="3" t="s">
        <v>42</v>
      </c>
    </row>
    <row r="253" spans="2:37" hidden="1" x14ac:dyDescent="0.3">
      <c r="B253" s="13"/>
      <c r="C253" s="10">
        <v>104</v>
      </c>
      <c r="D253" s="77" t="s">
        <v>1044</v>
      </c>
      <c r="E253" s="10"/>
      <c r="F253" s="10"/>
      <c r="G253" s="10"/>
      <c r="H253" s="10" t="s">
        <v>119</v>
      </c>
      <c r="I253" s="10" t="s">
        <v>382</v>
      </c>
      <c r="J253" s="10" t="s">
        <v>383</v>
      </c>
      <c r="K253" s="10" t="str">
        <f t="shared" si="8"/>
        <v>S1</v>
      </c>
      <c r="L253" s="26" t="s">
        <v>384</v>
      </c>
      <c r="M253" s="10" t="s">
        <v>40</v>
      </c>
      <c r="N253" s="10" t="s">
        <v>385</v>
      </c>
      <c r="O253" s="10" t="s">
        <v>955</v>
      </c>
      <c r="P253" s="13" t="s">
        <v>33</v>
      </c>
      <c r="Q253" s="10" t="s">
        <v>34</v>
      </c>
      <c r="R253" s="10"/>
      <c r="S253" s="10" t="s">
        <v>386</v>
      </c>
      <c r="T253" s="27"/>
      <c r="U253" s="30">
        <v>13.810185185185187</v>
      </c>
      <c r="V253" s="30">
        <v>0</v>
      </c>
      <c r="W253" s="30">
        <v>0</v>
      </c>
      <c r="X253" s="28"/>
      <c r="Y253" s="9"/>
      <c r="Z253" s="9"/>
      <c r="AA253" s="27"/>
      <c r="AB253" s="14" t="s">
        <v>35</v>
      </c>
      <c r="AC253" s="29"/>
      <c r="AD253" s="14" t="s">
        <v>35</v>
      </c>
      <c r="AE253" s="29"/>
      <c r="AF253" s="29"/>
      <c r="AG253" s="29"/>
      <c r="AH253" s="29"/>
      <c r="AI253" s="28"/>
      <c r="AJ253" s="3" t="s">
        <v>35</v>
      </c>
      <c r="AK253" s="3" t="s">
        <v>59</v>
      </c>
    </row>
    <row r="254" spans="2:37" hidden="1" x14ac:dyDescent="0.3">
      <c r="B254" s="13"/>
      <c r="C254" s="10">
        <v>105</v>
      </c>
      <c r="D254" s="77" t="s">
        <v>1044</v>
      </c>
      <c r="E254" s="10"/>
      <c r="F254" s="10"/>
      <c r="G254" s="10"/>
      <c r="H254" s="10" t="s">
        <v>119</v>
      </c>
      <c r="I254" s="10" t="s">
        <v>387</v>
      </c>
      <c r="J254" s="10" t="s">
        <v>388</v>
      </c>
      <c r="K254" s="10" t="str">
        <f t="shared" si="8"/>
        <v>S1</v>
      </c>
      <c r="L254" s="26" t="s">
        <v>389</v>
      </c>
      <c r="M254" s="10" t="s">
        <v>394</v>
      </c>
      <c r="N254" s="10" t="s">
        <v>394</v>
      </c>
      <c r="O254" s="10" t="s">
        <v>969</v>
      </c>
      <c r="P254" s="13" t="s">
        <v>213</v>
      </c>
      <c r="Q254" s="10" t="s">
        <v>34</v>
      </c>
      <c r="R254" s="10"/>
      <c r="S254" s="10"/>
      <c r="T254" s="27"/>
      <c r="U254" s="30">
        <v>3.6826923076923079</v>
      </c>
      <c r="V254" s="30">
        <v>0</v>
      </c>
      <c r="W254" s="30">
        <v>0</v>
      </c>
      <c r="X254" s="28"/>
      <c r="Y254" s="9"/>
      <c r="Z254" s="9"/>
      <c r="AA254" s="27"/>
      <c r="AB254" s="29"/>
      <c r="AC254" s="14" t="s">
        <v>35</v>
      </c>
      <c r="AD254" s="14" t="s">
        <v>35</v>
      </c>
      <c r="AE254" s="29"/>
      <c r="AF254" s="29"/>
      <c r="AG254" s="29"/>
      <c r="AH254" s="29"/>
      <c r="AI254" s="28"/>
      <c r="AJ254" s="3" t="s">
        <v>35</v>
      </c>
      <c r="AK254" s="3" t="s">
        <v>59</v>
      </c>
    </row>
    <row r="255" spans="2:37" hidden="1" x14ac:dyDescent="0.3">
      <c r="B255" s="13"/>
      <c r="C255" s="10">
        <v>120</v>
      </c>
      <c r="D255" s="75" t="s">
        <v>1036</v>
      </c>
      <c r="E255" s="10"/>
      <c r="F255" s="10"/>
      <c r="G255" s="10"/>
      <c r="H255" s="10" t="s">
        <v>109</v>
      </c>
      <c r="I255" s="51" t="s">
        <v>451</v>
      </c>
      <c r="J255" s="10" t="s">
        <v>452</v>
      </c>
      <c r="K255" s="10" t="str">
        <f t="shared" si="8"/>
        <v>S1</v>
      </c>
      <c r="L255" s="26" t="s">
        <v>453</v>
      </c>
      <c r="M255" s="10" t="s">
        <v>40</v>
      </c>
      <c r="N255" s="10" t="s">
        <v>380</v>
      </c>
      <c r="O255" s="10" t="s">
        <v>945</v>
      </c>
      <c r="P255" s="13" t="s">
        <v>1029</v>
      </c>
      <c r="Q255" s="10" t="s">
        <v>34</v>
      </c>
      <c r="R255" s="10"/>
      <c r="S255" s="10"/>
      <c r="T255" s="27"/>
      <c r="U255" s="30">
        <v>7.3653846153846159</v>
      </c>
      <c r="V255" s="30">
        <v>0</v>
      </c>
      <c r="W255" s="30">
        <v>0</v>
      </c>
      <c r="X255" s="28"/>
      <c r="Y255" s="9"/>
      <c r="Z255" s="9"/>
      <c r="AA255" s="27"/>
      <c r="AB255" s="14" t="s">
        <v>35</v>
      </c>
      <c r="AC255" s="29"/>
      <c r="AD255" s="29"/>
      <c r="AE255" s="29"/>
      <c r="AF255" s="29"/>
      <c r="AG255" s="29"/>
      <c r="AH255" s="29"/>
      <c r="AI255" s="28"/>
      <c r="AJ255" s="3" t="s">
        <v>42</v>
      </c>
    </row>
    <row r="256" spans="2:37" hidden="1" x14ac:dyDescent="0.3">
      <c r="B256" s="13"/>
      <c r="C256" s="10">
        <v>3</v>
      </c>
      <c r="D256" s="78" t="s">
        <v>1042</v>
      </c>
      <c r="E256" s="10"/>
      <c r="F256" s="10"/>
      <c r="G256" s="10"/>
      <c r="H256" s="10" t="s">
        <v>36</v>
      </c>
      <c r="I256" s="51" t="s">
        <v>50</v>
      </c>
      <c r="J256" s="10" t="s">
        <v>51</v>
      </c>
      <c r="K256" s="10" t="str">
        <f t="shared" si="8"/>
        <v>S1</v>
      </c>
      <c r="L256" s="26" t="s">
        <v>52</v>
      </c>
      <c r="M256" s="10" t="s">
        <v>394</v>
      </c>
      <c r="N256" s="10" t="s">
        <v>394</v>
      </c>
      <c r="O256" s="10" t="s">
        <v>949</v>
      </c>
      <c r="P256" s="13" t="s">
        <v>985</v>
      </c>
      <c r="Q256" s="10" t="s">
        <v>34</v>
      </c>
      <c r="R256" s="10"/>
      <c r="S256" s="10" t="s">
        <v>54</v>
      </c>
      <c r="T256" s="27"/>
      <c r="U256" s="30">
        <v>121.98468660968662</v>
      </c>
      <c r="V256" s="30">
        <v>0</v>
      </c>
      <c r="W256" s="30">
        <v>0</v>
      </c>
      <c r="X256" s="27"/>
      <c r="Y256" s="9"/>
      <c r="Z256" s="9"/>
      <c r="AA256" s="27"/>
      <c r="AB256" s="29"/>
      <c r="AC256" s="14" t="s">
        <v>35</v>
      </c>
      <c r="AD256" s="14" t="s">
        <v>35</v>
      </c>
      <c r="AE256" s="29"/>
      <c r="AF256" s="29"/>
      <c r="AG256" s="29"/>
      <c r="AH256" s="29"/>
      <c r="AI256" s="28"/>
      <c r="AJ256" s="3" t="s">
        <v>42</v>
      </c>
      <c r="AK256" s="3" t="s">
        <v>641</v>
      </c>
    </row>
    <row r="257" spans="2:37" hidden="1" x14ac:dyDescent="0.3">
      <c r="B257" s="13"/>
      <c r="C257" s="10">
        <v>9</v>
      </c>
      <c r="D257" s="10" t="s">
        <v>1038</v>
      </c>
      <c r="E257" s="10"/>
      <c r="F257" s="10"/>
      <c r="G257" s="10"/>
      <c r="H257" s="10" t="s">
        <v>36</v>
      </c>
      <c r="I257" s="10" t="s">
        <v>70</v>
      </c>
      <c r="J257" s="10" t="s">
        <v>71</v>
      </c>
      <c r="K257" s="10" t="str">
        <f t="shared" si="8"/>
        <v>S1</v>
      </c>
      <c r="L257" s="26" t="s">
        <v>72</v>
      </c>
      <c r="M257" s="10" t="s">
        <v>394</v>
      </c>
      <c r="N257" s="10" t="s">
        <v>344</v>
      </c>
      <c r="O257" s="10" t="s">
        <v>944</v>
      </c>
      <c r="P257" s="13" t="s">
        <v>213</v>
      </c>
      <c r="Q257" s="10" t="s">
        <v>34</v>
      </c>
      <c r="R257" s="10"/>
      <c r="S257" s="10"/>
      <c r="T257" s="27"/>
      <c r="U257" s="30">
        <v>0</v>
      </c>
      <c r="V257" s="30">
        <v>0</v>
      </c>
      <c r="W257" s="30">
        <v>0</v>
      </c>
      <c r="X257" s="28"/>
      <c r="Y257" s="9"/>
      <c r="Z257" s="9"/>
      <c r="AA257" s="27"/>
      <c r="AB257" s="29"/>
      <c r="AC257" s="14" t="s">
        <v>35</v>
      </c>
      <c r="AD257" s="29"/>
      <c r="AE257" s="29"/>
      <c r="AF257" s="29"/>
      <c r="AG257" s="29"/>
      <c r="AH257" s="29"/>
      <c r="AI257" s="28"/>
      <c r="AJ257" s="3" t="s">
        <v>42</v>
      </c>
      <c r="AK257" s="3" t="s">
        <v>641</v>
      </c>
    </row>
    <row r="258" spans="2:37" ht="28.2" hidden="1" customHeight="1" x14ac:dyDescent="0.3">
      <c r="B258" s="13"/>
      <c r="C258" s="10">
        <v>10</v>
      </c>
      <c r="D258" s="10" t="s">
        <v>1038</v>
      </c>
      <c r="E258" s="10"/>
      <c r="F258" s="10"/>
      <c r="G258" s="10"/>
      <c r="H258" s="10" t="s">
        <v>36</v>
      </c>
      <c r="I258" s="10" t="s">
        <v>76</v>
      </c>
      <c r="J258" s="10" t="s">
        <v>77</v>
      </c>
      <c r="K258" s="10" t="str">
        <f t="shared" si="8"/>
        <v>S1</v>
      </c>
      <c r="L258" s="26" t="s">
        <v>78</v>
      </c>
      <c r="M258" s="10" t="s">
        <v>394</v>
      </c>
      <c r="N258" s="10" t="s">
        <v>344</v>
      </c>
      <c r="O258" s="10" t="s">
        <v>944</v>
      </c>
      <c r="P258" s="13" t="s">
        <v>213</v>
      </c>
      <c r="Q258" s="10" t="s">
        <v>34</v>
      </c>
      <c r="R258" s="10"/>
      <c r="S258" s="10"/>
      <c r="T258" s="27"/>
      <c r="U258" s="30">
        <v>0</v>
      </c>
      <c r="V258" s="30">
        <v>0</v>
      </c>
      <c r="W258" s="30">
        <v>0</v>
      </c>
      <c r="X258" s="28"/>
      <c r="Y258" s="9"/>
      <c r="Z258" s="9"/>
      <c r="AA258" s="27"/>
      <c r="AB258" s="29"/>
      <c r="AC258" s="14" t="s">
        <v>35</v>
      </c>
      <c r="AD258" s="29"/>
      <c r="AE258" s="29"/>
      <c r="AF258" s="29"/>
      <c r="AG258" s="29"/>
      <c r="AH258" s="29"/>
      <c r="AI258" s="28"/>
      <c r="AJ258" s="3" t="s">
        <v>42</v>
      </c>
    </row>
    <row r="259" spans="2:37" hidden="1" x14ac:dyDescent="0.3">
      <c r="B259" s="13"/>
      <c r="C259" s="10">
        <v>11</v>
      </c>
      <c r="D259" s="10" t="s">
        <v>1038</v>
      </c>
      <c r="E259" s="10"/>
      <c r="F259" s="10"/>
      <c r="G259" s="10"/>
      <c r="H259" s="10" t="s">
        <v>36</v>
      </c>
      <c r="I259" s="10" t="s">
        <v>79</v>
      </c>
      <c r="J259" s="10" t="s">
        <v>80</v>
      </c>
      <c r="K259" s="10" t="str">
        <f t="shared" si="8"/>
        <v>S1</v>
      </c>
      <c r="L259" s="26" t="s">
        <v>81</v>
      </c>
      <c r="M259" s="10" t="s">
        <v>394</v>
      </c>
      <c r="N259" s="10" t="s">
        <v>344</v>
      </c>
      <c r="O259" s="10" t="s">
        <v>944</v>
      </c>
      <c r="P259" s="13" t="s">
        <v>33</v>
      </c>
      <c r="Q259" s="10" t="s">
        <v>34</v>
      </c>
      <c r="R259" s="10"/>
      <c r="S259" s="10"/>
      <c r="T259" s="27"/>
      <c r="U259" s="30">
        <v>0</v>
      </c>
      <c r="V259" s="30">
        <v>0</v>
      </c>
      <c r="W259" s="30">
        <v>0</v>
      </c>
      <c r="X259" s="28"/>
      <c r="Y259" s="9"/>
      <c r="Z259" s="9"/>
      <c r="AA259" s="27"/>
      <c r="AB259" s="29"/>
      <c r="AC259" s="14" t="s">
        <v>35</v>
      </c>
      <c r="AD259" s="29"/>
      <c r="AE259" s="29"/>
      <c r="AF259" s="29"/>
      <c r="AG259" s="29"/>
      <c r="AH259" s="29"/>
      <c r="AI259" s="28"/>
      <c r="AJ259" s="3" t="s">
        <v>35</v>
      </c>
      <c r="AK259" s="3" t="s">
        <v>59</v>
      </c>
    </row>
    <row r="260" spans="2:37" ht="28.2" hidden="1" customHeight="1" x14ac:dyDescent="0.3">
      <c r="B260" s="13"/>
      <c r="C260" s="10">
        <v>12</v>
      </c>
      <c r="D260" s="10" t="s">
        <v>1038</v>
      </c>
      <c r="E260" s="10"/>
      <c r="F260" s="10"/>
      <c r="G260" s="10"/>
      <c r="H260" s="10" t="s">
        <v>36</v>
      </c>
      <c r="I260" s="10" t="s">
        <v>82</v>
      </c>
      <c r="J260" s="10" t="s">
        <v>83</v>
      </c>
      <c r="K260" s="10" t="str">
        <f t="shared" si="8"/>
        <v>S1</v>
      </c>
      <c r="L260" s="26" t="s">
        <v>84</v>
      </c>
      <c r="M260" s="10" t="s">
        <v>394</v>
      </c>
      <c r="N260" s="10" t="s">
        <v>344</v>
      </c>
      <c r="O260" s="10" t="s">
        <v>944</v>
      </c>
      <c r="P260" s="13" t="s">
        <v>213</v>
      </c>
      <c r="Q260" s="10" t="s">
        <v>34</v>
      </c>
      <c r="R260" s="10"/>
      <c r="S260" s="10" t="s">
        <v>85</v>
      </c>
      <c r="T260" s="27"/>
      <c r="U260" s="30">
        <v>0</v>
      </c>
      <c r="V260" s="30">
        <v>0</v>
      </c>
      <c r="W260" s="30">
        <v>0</v>
      </c>
      <c r="X260" s="28"/>
      <c r="Y260" s="9"/>
      <c r="Z260" s="9"/>
      <c r="AA260" s="27"/>
      <c r="AB260" s="29"/>
      <c r="AC260" s="14" t="s">
        <v>35</v>
      </c>
      <c r="AD260" s="29"/>
      <c r="AE260" s="29"/>
      <c r="AF260" s="29"/>
      <c r="AG260" s="29"/>
      <c r="AH260" s="29"/>
      <c r="AI260" s="28"/>
      <c r="AJ260" s="3" t="s">
        <v>42</v>
      </c>
      <c r="AK260" s="3" t="s">
        <v>43</v>
      </c>
    </row>
    <row r="261" spans="2:37" hidden="1" x14ac:dyDescent="0.3">
      <c r="B261" s="13"/>
      <c r="C261" s="10">
        <v>13</v>
      </c>
      <c r="D261" s="10" t="s">
        <v>1038</v>
      </c>
      <c r="E261" s="10"/>
      <c r="F261" s="10"/>
      <c r="G261" s="10"/>
      <c r="H261" s="10" t="s">
        <v>36</v>
      </c>
      <c r="I261" s="10" t="s">
        <v>86</v>
      </c>
      <c r="J261" s="10" t="s">
        <v>87</v>
      </c>
      <c r="K261" s="10" t="str">
        <f t="shared" si="8"/>
        <v>S1</v>
      </c>
      <c r="L261" s="26" t="s">
        <v>88</v>
      </c>
      <c r="M261" s="10" t="s">
        <v>394</v>
      </c>
      <c r="N261" s="10" t="s">
        <v>344</v>
      </c>
      <c r="O261" s="10" t="s">
        <v>944</v>
      </c>
      <c r="P261" s="13" t="s">
        <v>213</v>
      </c>
      <c r="Q261" s="10" t="s">
        <v>34</v>
      </c>
      <c r="R261" s="10"/>
      <c r="S261" s="10"/>
      <c r="T261" s="27"/>
      <c r="U261" s="30">
        <v>0</v>
      </c>
      <c r="V261" s="30">
        <v>0</v>
      </c>
      <c r="W261" s="30">
        <v>0</v>
      </c>
      <c r="X261" s="28"/>
      <c r="Y261" s="9"/>
      <c r="Z261" s="9"/>
      <c r="AA261" s="27"/>
      <c r="AB261" s="29"/>
      <c r="AC261" s="14" t="s">
        <v>35</v>
      </c>
      <c r="AD261" s="29"/>
      <c r="AE261" s="29"/>
      <c r="AF261" s="29"/>
      <c r="AG261" s="29"/>
      <c r="AH261" s="29"/>
      <c r="AI261" s="28"/>
      <c r="AJ261" s="3" t="s">
        <v>42</v>
      </c>
      <c r="AK261" s="3" t="s">
        <v>43</v>
      </c>
    </row>
    <row r="262" spans="2:37" hidden="1" x14ac:dyDescent="0.3">
      <c r="B262" s="13"/>
      <c r="C262" s="13">
        <v>1082</v>
      </c>
      <c r="D262" s="78" t="s">
        <v>1042</v>
      </c>
      <c r="E262" s="10"/>
      <c r="F262" s="10"/>
      <c r="G262" s="10"/>
      <c r="H262" s="10" t="s">
        <v>36</v>
      </c>
      <c r="I262" s="10" t="str">
        <f>RIGHT(J262,LEN(J262)-3)</f>
        <v>BTU206</v>
      </c>
      <c r="J262" s="34" t="s">
        <v>937</v>
      </c>
      <c r="K262" s="10" t="s">
        <v>991</v>
      </c>
      <c r="L262" s="10" t="s">
        <v>1003</v>
      </c>
      <c r="M262" s="10" t="s">
        <v>394</v>
      </c>
      <c r="N262" s="10" t="s">
        <v>394</v>
      </c>
      <c r="O262" s="10" t="s">
        <v>954</v>
      </c>
      <c r="P262" s="13" t="s">
        <v>985</v>
      </c>
      <c r="Q262" s="10" t="s">
        <v>1011</v>
      </c>
      <c r="R262" s="10"/>
      <c r="S262" s="10"/>
      <c r="T262" s="27"/>
      <c r="U262" s="30">
        <v>0</v>
      </c>
      <c r="V262" s="30">
        <v>0</v>
      </c>
      <c r="W262" s="30">
        <v>0</v>
      </c>
      <c r="X262" s="28"/>
      <c r="Y262" s="9"/>
      <c r="Z262" s="9"/>
      <c r="AA262" s="27"/>
      <c r="AB262" s="29"/>
      <c r="AC262" s="29"/>
      <c r="AD262" s="29"/>
      <c r="AE262" s="14" t="s">
        <v>35</v>
      </c>
      <c r="AF262" s="29"/>
      <c r="AG262" s="29"/>
      <c r="AH262" s="29"/>
      <c r="AI262" s="28"/>
      <c r="AJ262" s="3" t="s">
        <v>42</v>
      </c>
      <c r="AK262" s="3" t="s">
        <v>43</v>
      </c>
    </row>
    <row r="263" spans="2:37" hidden="1" x14ac:dyDescent="0.3">
      <c r="B263" s="13"/>
      <c r="C263" s="10">
        <v>93</v>
      </c>
      <c r="D263" s="10" t="s">
        <v>1038</v>
      </c>
      <c r="E263" s="10"/>
      <c r="F263" s="10"/>
      <c r="G263" s="10"/>
      <c r="H263" s="10" t="s">
        <v>119</v>
      </c>
      <c r="I263" s="51" t="s">
        <v>340</v>
      </c>
      <c r="J263" s="10" t="s">
        <v>341</v>
      </c>
      <c r="K263" s="10" t="str">
        <f t="shared" ref="K263:K279" si="9">+LEFT(J263,2)</f>
        <v>S1</v>
      </c>
      <c r="L263" s="26" t="s">
        <v>342</v>
      </c>
      <c r="M263" s="10" t="s">
        <v>394</v>
      </c>
      <c r="N263" s="10" t="s">
        <v>344</v>
      </c>
      <c r="O263" s="10" t="s">
        <v>949</v>
      </c>
      <c r="P263" s="13" t="s">
        <v>33</v>
      </c>
      <c r="Q263" s="10" t="s">
        <v>34</v>
      </c>
      <c r="R263" s="10"/>
      <c r="S263" s="10" t="s">
        <v>345</v>
      </c>
      <c r="T263" s="27"/>
      <c r="U263" s="30">
        <v>0</v>
      </c>
      <c r="V263" s="30">
        <v>0</v>
      </c>
      <c r="W263" s="30">
        <v>0</v>
      </c>
      <c r="X263" s="28"/>
      <c r="Y263" s="9"/>
      <c r="Z263" s="9"/>
      <c r="AA263" s="27"/>
      <c r="AB263" s="29"/>
      <c r="AC263" s="14" t="s">
        <v>35</v>
      </c>
      <c r="AD263" s="29"/>
      <c r="AE263" s="29"/>
      <c r="AF263" s="29"/>
      <c r="AG263" s="29"/>
      <c r="AH263" s="29"/>
      <c r="AI263" s="28"/>
      <c r="AJ263" s="3" t="s">
        <v>42</v>
      </c>
      <c r="AK263" s="3" t="s">
        <v>43</v>
      </c>
    </row>
    <row r="264" spans="2:37" hidden="1" x14ac:dyDescent="0.3">
      <c r="B264" s="13"/>
      <c r="C264" s="10">
        <v>94</v>
      </c>
      <c r="D264" s="10" t="s">
        <v>1038</v>
      </c>
      <c r="E264" s="10"/>
      <c r="F264" s="10"/>
      <c r="G264" s="10"/>
      <c r="H264" s="10" t="s">
        <v>119</v>
      </c>
      <c r="I264" s="51" t="s">
        <v>346</v>
      </c>
      <c r="J264" s="10" t="s">
        <v>347</v>
      </c>
      <c r="K264" s="10" t="str">
        <f t="shared" si="9"/>
        <v>S1</v>
      </c>
      <c r="L264" s="26" t="s">
        <v>348</v>
      </c>
      <c r="M264" s="10" t="s">
        <v>394</v>
      </c>
      <c r="N264" s="10" t="s">
        <v>344</v>
      </c>
      <c r="O264" s="10" t="s">
        <v>953</v>
      </c>
      <c r="P264" s="13" t="s">
        <v>33</v>
      </c>
      <c r="Q264" s="10" t="s">
        <v>34</v>
      </c>
      <c r="R264" s="10"/>
      <c r="S264" s="10" t="s">
        <v>349</v>
      </c>
      <c r="T264" s="27"/>
      <c r="U264" s="30">
        <v>0</v>
      </c>
      <c r="V264" s="30">
        <v>0</v>
      </c>
      <c r="W264" s="30">
        <v>0</v>
      </c>
      <c r="X264" s="28"/>
      <c r="Y264" s="9"/>
      <c r="Z264" s="9"/>
      <c r="AA264" s="27"/>
      <c r="AB264" s="14" t="s">
        <v>35</v>
      </c>
      <c r="AC264" s="14" t="s">
        <v>35</v>
      </c>
      <c r="AD264" s="29"/>
      <c r="AE264" s="29"/>
      <c r="AF264" s="29"/>
      <c r="AG264" s="29"/>
      <c r="AH264" s="29"/>
      <c r="AI264" s="28"/>
      <c r="AJ264" s="3" t="s">
        <v>42</v>
      </c>
    </row>
    <row r="265" spans="2:37" ht="37.799999999999997" customHeight="1" x14ac:dyDescent="0.3">
      <c r="B265" s="13"/>
      <c r="C265" s="10">
        <v>95</v>
      </c>
      <c r="D265" s="76" t="s">
        <v>1043</v>
      </c>
      <c r="E265" s="10"/>
      <c r="F265" s="10"/>
      <c r="G265" s="10"/>
      <c r="H265" s="10" t="s">
        <v>119</v>
      </c>
      <c r="I265" s="51" t="s">
        <v>350</v>
      </c>
      <c r="J265" s="10" t="s">
        <v>351</v>
      </c>
      <c r="K265" s="10" t="str">
        <f t="shared" si="9"/>
        <v>S1</v>
      </c>
      <c r="L265" s="26" t="s">
        <v>352</v>
      </c>
      <c r="M265" s="10" t="s">
        <v>394</v>
      </c>
      <c r="N265" s="10" t="s">
        <v>344</v>
      </c>
      <c r="O265" s="10" t="s">
        <v>952</v>
      </c>
      <c r="P265" s="13" t="s">
        <v>33</v>
      </c>
      <c r="Q265" s="10" t="s">
        <v>34</v>
      </c>
      <c r="R265" s="10"/>
      <c r="S265" s="10" t="s">
        <v>353</v>
      </c>
      <c r="U265" s="30">
        <v>20.254985754985757</v>
      </c>
      <c r="V265" s="30">
        <v>0</v>
      </c>
      <c r="W265" s="30">
        <v>0</v>
      </c>
      <c r="X265" s="68"/>
      <c r="Y265" s="9"/>
      <c r="Z265" s="9"/>
      <c r="AB265" s="14" t="s">
        <v>35</v>
      </c>
      <c r="AC265" s="14" t="s">
        <v>35</v>
      </c>
      <c r="AD265" s="14" t="s">
        <v>35</v>
      </c>
      <c r="AE265" s="29"/>
      <c r="AF265" s="29"/>
      <c r="AG265" s="29"/>
      <c r="AH265" s="29"/>
      <c r="AJ265" s="3" t="s">
        <v>42</v>
      </c>
      <c r="AK265" s="3" t="s">
        <v>43</v>
      </c>
    </row>
    <row r="266" spans="2:37" hidden="1" x14ac:dyDescent="0.3">
      <c r="B266" s="39"/>
      <c r="C266" s="39">
        <v>1023</v>
      </c>
      <c r="D266" s="10" t="s">
        <v>1038</v>
      </c>
      <c r="E266" s="38"/>
      <c r="F266" s="38"/>
      <c r="G266" s="38"/>
      <c r="H266" s="38" t="s">
        <v>119</v>
      </c>
      <c r="I266" s="70" t="s">
        <v>885</v>
      </c>
      <c r="J266" s="38" t="s">
        <v>886</v>
      </c>
      <c r="K266" s="38" t="str">
        <f t="shared" si="9"/>
        <v>S1</v>
      </c>
      <c r="L266" s="38" t="s">
        <v>887</v>
      </c>
      <c r="M266" s="38" t="s">
        <v>394</v>
      </c>
      <c r="N266" s="38" t="s">
        <v>344</v>
      </c>
      <c r="O266" s="10" t="s">
        <v>944</v>
      </c>
      <c r="P266" s="39" t="s">
        <v>1010</v>
      </c>
      <c r="Q266" s="10" t="s">
        <v>1011</v>
      </c>
      <c r="R266" s="10"/>
      <c r="S266" s="10"/>
      <c r="U266" s="30">
        <v>0</v>
      </c>
      <c r="V266" s="30">
        <v>0</v>
      </c>
      <c r="W266" s="30">
        <v>0</v>
      </c>
      <c r="Y266" s="9"/>
      <c r="Z266" s="9"/>
      <c r="AB266" s="29"/>
      <c r="AC266" s="14" t="s">
        <v>35</v>
      </c>
      <c r="AD266" s="29"/>
      <c r="AE266" s="29"/>
      <c r="AF266" s="29"/>
      <c r="AG266" s="29"/>
      <c r="AH266" s="29"/>
      <c r="AJ266" s="3" t="s">
        <v>42</v>
      </c>
      <c r="AK266" s="3" t="s">
        <v>390</v>
      </c>
    </row>
    <row r="267" spans="2:37" ht="52.95" hidden="1" customHeight="1" x14ac:dyDescent="0.3">
      <c r="B267" s="13"/>
      <c r="C267" s="13">
        <v>1024</v>
      </c>
      <c r="D267" s="10" t="s">
        <v>1038</v>
      </c>
      <c r="E267" s="10"/>
      <c r="F267" s="10"/>
      <c r="G267" s="10"/>
      <c r="H267" s="10" t="s">
        <v>119</v>
      </c>
      <c r="I267" s="34" t="s">
        <v>888</v>
      </c>
      <c r="J267" s="10" t="s">
        <v>889</v>
      </c>
      <c r="K267" s="10" t="str">
        <f t="shared" si="9"/>
        <v>S1</v>
      </c>
      <c r="L267" s="10" t="s">
        <v>890</v>
      </c>
      <c r="M267" s="10" t="s">
        <v>394</v>
      </c>
      <c r="N267" s="10" t="s">
        <v>344</v>
      </c>
      <c r="O267" s="10" t="s">
        <v>944</v>
      </c>
      <c r="P267" s="13" t="s">
        <v>213</v>
      </c>
      <c r="Q267" s="10" t="s">
        <v>1011</v>
      </c>
      <c r="R267" s="40"/>
      <c r="S267" s="38"/>
      <c r="U267" s="30">
        <v>0</v>
      </c>
      <c r="V267" s="30">
        <v>0</v>
      </c>
      <c r="W267" s="30">
        <v>0</v>
      </c>
      <c r="Y267" s="9"/>
      <c r="Z267" s="9"/>
      <c r="AB267" s="29"/>
      <c r="AC267" s="14" t="s">
        <v>35</v>
      </c>
      <c r="AD267" s="29"/>
      <c r="AE267" s="29"/>
      <c r="AF267" s="29"/>
      <c r="AG267" s="29"/>
      <c r="AH267" s="29"/>
      <c r="AJ267" s="3" t="s">
        <v>42</v>
      </c>
    </row>
    <row r="268" spans="2:37" hidden="1" x14ac:dyDescent="0.3">
      <c r="B268" s="13"/>
      <c r="C268" s="10">
        <v>99</v>
      </c>
      <c r="D268" s="10" t="s">
        <v>1038</v>
      </c>
      <c r="E268" s="10"/>
      <c r="F268" s="10"/>
      <c r="G268" s="10"/>
      <c r="H268" s="10" t="s">
        <v>119</v>
      </c>
      <c r="I268" s="10" t="s">
        <v>363</v>
      </c>
      <c r="J268" s="10" t="s">
        <v>364</v>
      </c>
      <c r="K268" s="10" t="str">
        <f t="shared" si="9"/>
        <v>S1</v>
      </c>
      <c r="L268" s="26" t="s">
        <v>365</v>
      </c>
      <c r="M268" s="10" t="s">
        <v>394</v>
      </c>
      <c r="N268" s="10" t="s">
        <v>344</v>
      </c>
      <c r="O268" s="10" t="s">
        <v>953</v>
      </c>
      <c r="P268" s="74" t="s">
        <v>33</v>
      </c>
      <c r="Q268" s="10" t="s">
        <v>34</v>
      </c>
      <c r="R268" s="10"/>
      <c r="S268" s="10" t="s">
        <v>349</v>
      </c>
      <c r="U268" s="30">
        <v>0</v>
      </c>
      <c r="V268" s="30">
        <v>0</v>
      </c>
      <c r="W268" s="30">
        <v>0</v>
      </c>
      <c r="X268" s="68"/>
      <c r="Y268" s="9"/>
      <c r="Z268" s="9"/>
      <c r="AB268" s="14" t="s">
        <v>35</v>
      </c>
      <c r="AC268" s="14" t="s">
        <v>35</v>
      </c>
      <c r="AD268" s="29"/>
      <c r="AE268" s="29"/>
      <c r="AF268" s="29"/>
      <c r="AG268" s="29"/>
      <c r="AH268" s="29"/>
      <c r="AJ268" s="3" t="s">
        <v>42</v>
      </c>
      <c r="AK268" s="3" t="s">
        <v>641</v>
      </c>
    </row>
    <row r="269" spans="2:37" hidden="1" x14ac:dyDescent="0.3">
      <c r="B269" s="13"/>
      <c r="C269" s="10">
        <v>204</v>
      </c>
      <c r="D269" s="10" t="s">
        <v>1038</v>
      </c>
      <c r="E269" s="10"/>
      <c r="F269" s="10"/>
      <c r="G269" s="10"/>
      <c r="H269" s="10" t="s">
        <v>119</v>
      </c>
      <c r="I269" s="51" t="s">
        <v>693</v>
      </c>
      <c r="J269" s="10" t="s">
        <v>694</v>
      </c>
      <c r="K269" s="10" t="str">
        <f t="shared" si="9"/>
        <v>S2</v>
      </c>
      <c r="L269" s="26" t="s">
        <v>695</v>
      </c>
      <c r="M269" s="10" t="s">
        <v>394</v>
      </c>
      <c r="N269" s="10" t="s">
        <v>344</v>
      </c>
      <c r="O269" s="10" t="s">
        <v>944</v>
      </c>
      <c r="P269" s="74" t="s">
        <v>33</v>
      </c>
      <c r="Q269" s="10" t="s">
        <v>34</v>
      </c>
      <c r="R269" s="10"/>
      <c r="S269" s="10" t="s">
        <v>696</v>
      </c>
      <c r="U269" s="30">
        <v>0</v>
      </c>
      <c r="V269" s="30">
        <v>0</v>
      </c>
      <c r="W269" s="30">
        <v>0</v>
      </c>
      <c r="X269" s="68"/>
      <c r="Y269" s="9"/>
      <c r="Z269" s="9"/>
      <c r="AB269" s="29"/>
      <c r="AC269" s="14" t="s">
        <v>35</v>
      </c>
      <c r="AD269" s="29"/>
      <c r="AE269" s="29"/>
      <c r="AF269" s="29"/>
      <c r="AG269" s="29"/>
      <c r="AH269" s="29"/>
      <c r="AJ269" s="3" t="s">
        <v>42</v>
      </c>
      <c r="AK269" s="3" t="s">
        <v>641</v>
      </c>
    </row>
    <row r="270" spans="2:37" hidden="1" x14ac:dyDescent="0.3">
      <c r="B270" s="42"/>
      <c r="C270" s="42">
        <v>1025</v>
      </c>
      <c r="D270" s="42"/>
      <c r="E270" s="42"/>
      <c r="F270" s="42"/>
      <c r="G270" s="42"/>
      <c r="H270" s="42" t="s">
        <v>119</v>
      </c>
      <c r="I270" s="42" t="s">
        <v>891</v>
      </c>
      <c r="J270" s="42" t="s">
        <v>892</v>
      </c>
      <c r="K270" s="42" t="str">
        <f t="shared" si="9"/>
        <v>S1</v>
      </c>
      <c r="L270" s="43" t="s">
        <v>893</v>
      </c>
      <c r="M270" s="42" t="s">
        <v>394</v>
      </c>
      <c r="N270" s="42" t="s">
        <v>344</v>
      </c>
      <c r="O270" s="52" t="s">
        <v>944</v>
      </c>
      <c r="P270" s="49" t="s">
        <v>1010</v>
      </c>
      <c r="Q270" s="42" t="s">
        <v>1030</v>
      </c>
      <c r="R270" s="42"/>
      <c r="S270" s="44" t="s">
        <v>214</v>
      </c>
      <c r="U270" s="30">
        <v>0</v>
      </c>
      <c r="V270" s="30">
        <v>0</v>
      </c>
      <c r="W270" s="30">
        <v>0</v>
      </c>
      <c r="Y270" s="9"/>
      <c r="Z270" s="9"/>
      <c r="AB270" s="29"/>
      <c r="AC270" s="14" t="s">
        <v>35</v>
      </c>
      <c r="AD270" s="29"/>
      <c r="AE270" s="29"/>
      <c r="AF270" s="29"/>
      <c r="AG270" s="29"/>
      <c r="AH270" s="29"/>
      <c r="AJ270" s="3" t="s">
        <v>42</v>
      </c>
      <c r="AK270" s="3" t="s">
        <v>641</v>
      </c>
    </row>
    <row r="271" spans="2:37" ht="37.799999999999997" customHeight="1" x14ac:dyDescent="0.3">
      <c r="B271" s="13"/>
      <c r="C271" s="10">
        <v>102</v>
      </c>
      <c r="D271" s="76" t="s">
        <v>1043</v>
      </c>
      <c r="E271" s="10"/>
      <c r="F271" s="10"/>
      <c r="G271" s="10"/>
      <c r="H271" s="10" t="s">
        <v>119</v>
      </c>
      <c r="I271" s="10" t="s">
        <v>373</v>
      </c>
      <c r="J271" s="10" t="s">
        <v>374</v>
      </c>
      <c r="K271" s="10" t="str">
        <f t="shared" si="9"/>
        <v>S1</v>
      </c>
      <c r="L271" s="26" t="s">
        <v>375</v>
      </c>
      <c r="M271" s="10" t="s">
        <v>394</v>
      </c>
      <c r="N271" s="10" t="s">
        <v>344</v>
      </c>
      <c r="O271" s="10" t="s">
        <v>952</v>
      </c>
      <c r="P271" s="74" t="s">
        <v>33</v>
      </c>
      <c r="Q271" s="10" t="s">
        <v>34</v>
      </c>
      <c r="R271" s="10" t="s">
        <v>940</v>
      </c>
      <c r="S271" s="10" t="s">
        <v>376</v>
      </c>
      <c r="U271" s="30">
        <v>14.730769230769232</v>
      </c>
      <c r="V271" s="30">
        <v>0</v>
      </c>
      <c r="W271" s="30">
        <v>0</v>
      </c>
      <c r="X271" s="68"/>
      <c r="Y271" s="9"/>
      <c r="Z271" s="9"/>
      <c r="AB271" s="14" t="s">
        <v>35</v>
      </c>
      <c r="AC271" s="14" t="s">
        <v>35</v>
      </c>
      <c r="AD271" s="14" t="s">
        <v>35</v>
      </c>
      <c r="AE271" s="29"/>
      <c r="AF271" s="29"/>
      <c r="AG271" s="29"/>
      <c r="AH271" s="29"/>
      <c r="AJ271" s="3" t="s">
        <v>35</v>
      </c>
      <c r="AK271" s="3" t="s">
        <v>59</v>
      </c>
    </row>
    <row r="272" spans="2:37" ht="28.8" hidden="1" x14ac:dyDescent="0.3">
      <c r="B272" s="13"/>
      <c r="C272" s="10">
        <v>106</v>
      </c>
      <c r="D272" s="78" t="s">
        <v>1042</v>
      </c>
      <c r="E272" s="10"/>
      <c r="F272" s="10"/>
      <c r="G272" s="10"/>
      <c r="H272" s="10" t="s">
        <v>119</v>
      </c>
      <c r="I272" s="10" t="s">
        <v>391</v>
      </c>
      <c r="J272" s="10" t="s">
        <v>392</v>
      </c>
      <c r="K272" s="10" t="str">
        <f t="shared" si="9"/>
        <v>S1</v>
      </c>
      <c r="L272" s="26" t="s">
        <v>393</v>
      </c>
      <c r="M272" s="10" t="s">
        <v>394</v>
      </c>
      <c r="N272" s="10" t="s">
        <v>946</v>
      </c>
      <c r="O272" s="10" t="s">
        <v>970</v>
      </c>
      <c r="P272" s="74" t="s">
        <v>33</v>
      </c>
      <c r="Q272" s="10" t="s">
        <v>34</v>
      </c>
      <c r="R272" s="37" t="s">
        <v>395</v>
      </c>
      <c r="S272" s="10"/>
      <c r="U272" s="30">
        <v>0</v>
      </c>
      <c r="V272" s="30">
        <v>26.130107290742437</v>
      </c>
      <c r="W272" s="30">
        <v>0</v>
      </c>
      <c r="X272" s="68"/>
      <c r="Y272" s="9"/>
      <c r="Z272" s="9"/>
      <c r="AB272" s="14" t="s">
        <v>35</v>
      </c>
      <c r="AC272" s="14" t="s">
        <v>35</v>
      </c>
      <c r="AD272" s="29"/>
      <c r="AE272" s="14" t="s">
        <v>35</v>
      </c>
      <c r="AF272" s="14" t="s">
        <v>35</v>
      </c>
      <c r="AG272" s="29"/>
      <c r="AH272" s="29"/>
      <c r="AJ272" s="3" t="s">
        <v>183</v>
      </c>
      <c r="AK272" s="3" t="s">
        <v>284</v>
      </c>
    </row>
    <row r="273" spans="2:37" ht="28.8" hidden="1" x14ac:dyDescent="0.3">
      <c r="B273" s="13"/>
      <c r="C273" s="10">
        <v>107</v>
      </c>
      <c r="D273" s="78" t="s">
        <v>1042</v>
      </c>
      <c r="E273" s="10"/>
      <c r="F273" s="10"/>
      <c r="G273" s="10"/>
      <c r="H273" s="10" t="s">
        <v>119</v>
      </c>
      <c r="I273" s="10" t="s">
        <v>396</v>
      </c>
      <c r="J273" s="10" t="s">
        <v>397</v>
      </c>
      <c r="K273" s="10" t="str">
        <f t="shared" si="9"/>
        <v>S1</v>
      </c>
      <c r="L273" s="26" t="s">
        <v>398</v>
      </c>
      <c r="M273" s="10" t="s">
        <v>394</v>
      </c>
      <c r="N273" s="10" t="s">
        <v>946</v>
      </c>
      <c r="O273" s="10" t="s">
        <v>970</v>
      </c>
      <c r="P273" s="74" t="s">
        <v>33</v>
      </c>
      <c r="Q273" s="10" t="s">
        <v>34</v>
      </c>
      <c r="R273" s="37" t="s">
        <v>399</v>
      </c>
      <c r="S273" s="10"/>
      <c r="U273" s="30">
        <v>0</v>
      </c>
      <c r="V273" s="30">
        <v>26.130107290742437</v>
      </c>
      <c r="W273" s="30">
        <v>0</v>
      </c>
      <c r="X273" s="68"/>
      <c r="Y273" s="9"/>
      <c r="Z273" s="9"/>
      <c r="AB273" s="14" t="s">
        <v>35</v>
      </c>
      <c r="AC273" s="14" t="s">
        <v>35</v>
      </c>
      <c r="AD273" s="29"/>
      <c r="AE273" s="14" t="s">
        <v>35</v>
      </c>
      <c r="AF273" s="14" t="s">
        <v>35</v>
      </c>
      <c r="AG273" s="29"/>
      <c r="AH273" s="29"/>
      <c r="AJ273" s="3" t="s">
        <v>42</v>
      </c>
      <c r="AK273" s="3" t="s">
        <v>43</v>
      </c>
    </row>
    <row r="274" spans="2:37" ht="28.8" hidden="1" x14ac:dyDescent="0.3">
      <c r="B274" s="13"/>
      <c r="C274" s="10">
        <v>108</v>
      </c>
      <c r="D274" s="78" t="s">
        <v>1042</v>
      </c>
      <c r="E274" s="10"/>
      <c r="F274" s="10"/>
      <c r="G274" s="10"/>
      <c r="H274" s="10" t="s">
        <v>119</v>
      </c>
      <c r="I274" s="10" t="s">
        <v>400</v>
      </c>
      <c r="J274" s="10" t="s">
        <v>401</v>
      </c>
      <c r="K274" s="10" t="str">
        <f t="shared" si="9"/>
        <v>S1</v>
      </c>
      <c r="L274" s="26" t="s">
        <v>402</v>
      </c>
      <c r="M274" s="10" t="s">
        <v>394</v>
      </c>
      <c r="N274" s="10" t="s">
        <v>946</v>
      </c>
      <c r="O274" s="10" t="s">
        <v>970</v>
      </c>
      <c r="P274" s="74" t="s">
        <v>33</v>
      </c>
      <c r="Q274" s="10" t="s">
        <v>34</v>
      </c>
      <c r="R274" s="37" t="s">
        <v>403</v>
      </c>
      <c r="S274" s="10"/>
      <c r="U274" s="30">
        <v>0</v>
      </c>
      <c r="V274" s="30">
        <v>26.810313724233506</v>
      </c>
      <c r="W274" s="30">
        <v>0</v>
      </c>
      <c r="X274" s="68"/>
      <c r="Y274" s="9"/>
      <c r="Z274" s="9"/>
      <c r="AB274" s="14" t="s">
        <v>35</v>
      </c>
      <c r="AC274" s="14" t="s">
        <v>35</v>
      </c>
      <c r="AD274" s="29"/>
      <c r="AE274" s="14" t="s">
        <v>35</v>
      </c>
      <c r="AF274" s="14" t="s">
        <v>35</v>
      </c>
      <c r="AG274" s="29"/>
      <c r="AH274" s="29"/>
      <c r="AJ274" s="3" t="s">
        <v>35</v>
      </c>
      <c r="AK274" s="3" t="s">
        <v>59</v>
      </c>
    </row>
    <row r="275" spans="2:37" ht="28.8" hidden="1" x14ac:dyDescent="0.3">
      <c r="B275" s="13"/>
      <c r="C275" s="10">
        <v>109</v>
      </c>
      <c r="D275" s="78" t="s">
        <v>1042</v>
      </c>
      <c r="E275" s="10"/>
      <c r="F275" s="10"/>
      <c r="G275" s="10"/>
      <c r="H275" s="10" t="s">
        <v>119</v>
      </c>
      <c r="I275" s="10" t="s">
        <v>404</v>
      </c>
      <c r="J275" s="10" t="s">
        <v>405</v>
      </c>
      <c r="K275" s="10" t="str">
        <f t="shared" si="9"/>
        <v>S1</v>
      </c>
      <c r="L275" s="26" t="s">
        <v>406</v>
      </c>
      <c r="M275" s="10" t="s">
        <v>394</v>
      </c>
      <c r="N275" s="10" t="s">
        <v>407</v>
      </c>
      <c r="O275" s="10" t="s">
        <v>949</v>
      </c>
      <c r="P275" s="74" t="s">
        <v>33</v>
      </c>
      <c r="Q275" s="10" t="s">
        <v>34</v>
      </c>
      <c r="R275" s="37" t="s">
        <v>408</v>
      </c>
      <c r="S275" s="10" t="s">
        <v>407</v>
      </c>
      <c r="U275" s="30">
        <v>0</v>
      </c>
      <c r="V275" s="30">
        <v>12.278303855519404</v>
      </c>
      <c r="W275" s="30">
        <v>0</v>
      </c>
      <c r="X275" s="68"/>
      <c r="Y275" s="9"/>
      <c r="Z275" s="9"/>
      <c r="AB275" s="29"/>
      <c r="AC275" s="14" t="s">
        <v>35</v>
      </c>
      <c r="AD275" s="29"/>
      <c r="AE275" s="14" t="s">
        <v>35</v>
      </c>
      <c r="AF275" s="14" t="s">
        <v>35</v>
      </c>
      <c r="AG275" s="29"/>
      <c r="AH275" s="29"/>
      <c r="AJ275" s="3" t="s">
        <v>42</v>
      </c>
      <c r="AK275" s="3" t="s">
        <v>43</v>
      </c>
    </row>
    <row r="276" spans="2:37" ht="28.8" hidden="1" x14ac:dyDescent="0.3">
      <c r="B276" s="13"/>
      <c r="C276" s="10">
        <v>110</v>
      </c>
      <c r="D276" s="78" t="s">
        <v>1042</v>
      </c>
      <c r="E276" s="10"/>
      <c r="F276" s="10"/>
      <c r="G276" s="10"/>
      <c r="H276" s="10" t="s">
        <v>119</v>
      </c>
      <c r="I276" s="10" t="s">
        <v>409</v>
      </c>
      <c r="J276" s="10" t="s">
        <v>410</v>
      </c>
      <c r="K276" s="10" t="str">
        <f t="shared" si="9"/>
        <v>S1</v>
      </c>
      <c r="L276" s="26" t="s">
        <v>411</v>
      </c>
      <c r="M276" s="10" t="s">
        <v>394</v>
      </c>
      <c r="N276" s="10" t="s">
        <v>407</v>
      </c>
      <c r="O276" s="10" t="s">
        <v>949</v>
      </c>
      <c r="P276" s="74" t="s">
        <v>33</v>
      </c>
      <c r="Q276" s="10" t="s">
        <v>34</v>
      </c>
      <c r="R276" s="37" t="s">
        <v>412</v>
      </c>
      <c r="S276" s="10" t="s">
        <v>407</v>
      </c>
      <c r="U276" s="30">
        <v>0</v>
      </c>
      <c r="V276" s="30">
        <v>12.278303855519404</v>
      </c>
      <c r="W276" s="30">
        <v>0</v>
      </c>
      <c r="X276" s="68"/>
      <c r="Y276" s="9"/>
      <c r="Z276" s="9"/>
      <c r="AB276" s="29"/>
      <c r="AC276" s="14" t="s">
        <v>35</v>
      </c>
      <c r="AD276" s="29"/>
      <c r="AE276" s="14" t="s">
        <v>35</v>
      </c>
      <c r="AF276" s="14" t="s">
        <v>35</v>
      </c>
      <c r="AG276" s="29"/>
      <c r="AH276" s="29"/>
      <c r="AJ276" s="3" t="s">
        <v>42</v>
      </c>
      <c r="AK276" s="3" t="s">
        <v>641</v>
      </c>
    </row>
    <row r="277" spans="2:37" ht="28.2" hidden="1" customHeight="1" x14ac:dyDescent="0.3">
      <c r="B277" s="13"/>
      <c r="C277" s="10">
        <v>111</v>
      </c>
      <c r="D277" s="78" t="s">
        <v>1042</v>
      </c>
      <c r="E277" s="10"/>
      <c r="F277" s="10"/>
      <c r="G277" s="10"/>
      <c r="H277" s="10" t="s">
        <v>119</v>
      </c>
      <c r="I277" s="10" t="s">
        <v>413</v>
      </c>
      <c r="J277" s="10" t="s">
        <v>414</v>
      </c>
      <c r="K277" s="10" t="str">
        <f t="shared" si="9"/>
        <v>S1</v>
      </c>
      <c r="L277" s="26" t="s">
        <v>415</v>
      </c>
      <c r="M277" s="10" t="s">
        <v>394</v>
      </c>
      <c r="N277" s="10" t="s">
        <v>407</v>
      </c>
      <c r="O277" s="10" t="s">
        <v>949</v>
      </c>
      <c r="P277" s="74" t="s">
        <v>33</v>
      </c>
      <c r="Q277" s="10" t="s">
        <v>34</v>
      </c>
      <c r="R277" s="37" t="s">
        <v>416</v>
      </c>
      <c r="S277" s="10" t="s">
        <v>407</v>
      </c>
      <c r="U277" s="30">
        <v>0</v>
      </c>
      <c r="V277" s="30">
        <v>12.278303855519404</v>
      </c>
      <c r="W277" s="30">
        <v>0</v>
      </c>
      <c r="X277" s="68"/>
      <c r="Y277" s="9"/>
      <c r="Z277" s="9"/>
      <c r="AB277" s="29"/>
      <c r="AC277" s="14" t="s">
        <v>35</v>
      </c>
      <c r="AD277" s="29"/>
      <c r="AE277" s="14" t="s">
        <v>35</v>
      </c>
      <c r="AF277" s="14" t="s">
        <v>35</v>
      </c>
      <c r="AG277" s="29"/>
      <c r="AH277" s="29"/>
      <c r="AJ277" s="3" t="s">
        <v>42</v>
      </c>
      <c r="AK277" s="3" t="s">
        <v>641</v>
      </c>
    </row>
    <row r="278" spans="2:37" ht="28.2" hidden="1" customHeight="1" x14ac:dyDescent="0.3">
      <c r="B278" s="13"/>
      <c r="C278" s="10">
        <v>112</v>
      </c>
      <c r="D278" s="78" t="s">
        <v>1042</v>
      </c>
      <c r="E278" s="10"/>
      <c r="F278" s="10"/>
      <c r="G278" s="10"/>
      <c r="H278" s="10" t="s">
        <v>119</v>
      </c>
      <c r="I278" s="10" t="s">
        <v>417</v>
      </c>
      <c r="J278" s="10" t="s">
        <v>418</v>
      </c>
      <c r="K278" s="10" t="str">
        <f t="shared" si="9"/>
        <v>S1</v>
      </c>
      <c r="L278" s="26" t="s">
        <v>419</v>
      </c>
      <c r="M278" s="10" t="s">
        <v>394</v>
      </c>
      <c r="N278" s="10" t="s">
        <v>407</v>
      </c>
      <c r="O278" s="10" t="s">
        <v>949</v>
      </c>
      <c r="P278" s="74" t="s">
        <v>33</v>
      </c>
      <c r="Q278" s="10" t="s">
        <v>34</v>
      </c>
      <c r="R278" s="37" t="s">
        <v>420</v>
      </c>
      <c r="S278" s="10" t="s">
        <v>407</v>
      </c>
      <c r="U278" s="30">
        <v>0</v>
      </c>
      <c r="V278" s="30">
        <v>12.278303855519404</v>
      </c>
      <c r="W278" s="30">
        <v>0</v>
      </c>
      <c r="X278" s="68"/>
      <c r="Y278" s="9"/>
      <c r="Z278" s="9"/>
      <c r="AB278" s="29"/>
      <c r="AC278" s="14" t="s">
        <v>35</v>
      </c>
      <c r="AD278" s="29"/>
      <c r="AE278" s="14" t="s">
        <v>35</v>
      </c>
      <c r="AF278" s="14" t="s">
        <v>35</v>
      </c>
      <c r="AG278" s="29"/>
      <c r="AH278" s="29"/>
      <c r="AJ278" s="3" t="s">
        <v>42</v>
      </c>
    </row>
    <row r="279" spans="2:37" ht="28.8" hidden="1" x14ac:dyDescent="0.3">
      <c r="B279" s="13"/>
      <c r="C279" s="72">
        <v>1060</v>
      </c>
      <c r="D279" s="78" t="s">
        <v>1042</v>
      </c>
      <c r="E279" s="10"/>
      <c r="F279" s="10"/>
      <c r="G279" s="10"/>
      <c r="H279" s="10" t="s">
        <v>119</v>
      </c>
      <c r="I279" s="38" t="s">
        <v>879</v>
      </c>
      <c r="J279" s="38" t="s">
        <v>880</v>
      </c>
      <c r="K279" s="10" t="str">
        <f t="shared" si="9"/>
        <v>S1</v>
      </c>
      <c r="L279" s="34" t="s">
        <v>881</v>
      </c>
      <c r="M279" s="10" t="s">
        <v>394</v>
      </c>
      <c r="N279" s="10" t="s">
        <v>394</v>
      </c>
      <c r="O279" s="10" t="s">
        <v>961</v>
      </c>
      <c r="P279" s="74" t="s">
        <v>213</v>
      </c>
      <c r="Q279" s="10" t="s">
        <v>1011</v>
      </c>
      <c r="R279" s="10"/>
      <c r="S279" s="10"/>
      <c r="U279" s="30">
        <v>0</v>
      </c>
      <c r="V279" s="30">
        <v>0</v>
      </c>
      <c r="W279" s="30">
        <v>0</v>
      </c>
      <c r="X279" s="68"/>
      <c r="Y279" s="9"/>
      <c r="Z279" s="9"/>
      <c r="AB279" s="14" t="s">
        <v>35</v>
      </c>
      <c r="AC279" s="14" t="s">
        <v>35</v>
      </c>
      <c r="AD279" s="14" t="s">
        <v>35</v>
      </c>
      <c r="AE279" s="14" t="s">
        <v>35</v>
      </c>
      <c r="AF279" s="29"/>
      <c r="AG279" s="29"/>
      <c r="AH279" s="29"/>
      <c r="AJ279" s="3" t="s">
        <v>42</v>
      </c>
      <c r="AK279" s="3" t="s">
        <v>641</v>
      </c>
    </row>
    <row r="280" spans="2:37" ht="28.2" hidden="1" customHeight="1" x14ac:dyDescent="0.3">
      <c r="B280" s="13"/>
      <c r="C280" s="72">
        <v>1084</v>
      </c>
      <c r="D280" s="78" t="s">
        <v>1042</v>
      </c>
      <c r="E280" s="10"/>
      <c r="F280" s="10"/>
      <c r="G280" s="10"/>
      <c r="H280" s="10" t="s">
        <v>119</v>
      </c>
      <c r="I280" s="10" t="str">
        <f>RIGHT(J280,LEN(J280)-3)</f>
        <v>STP207</v>
      </c>
      <c r="J280" s="34" t="s">
        <v>927</v>
      </c>
      <c r="K280" s="10" t="s">
        <v>990</v>
      </c>
      <c r="L280" s="10" t="s">
        <v>994</v>
      </c>
      <c r="M280" s="10" t="s">
        <v>394</v>
      </c>
      <c r="N280" s="10" t="s">
        <v>394</v>
      </c>
      <c r="O280" s="10" t="str">
        <f>_xlfn.XLOOKUP(I280,[1]OTs_Extract!$A$2:$A$243,[1]OTs_Extract!$B$2:$B$243)</f>
        <v>H0, K0, L0, N0, T0</v>
      </c>
      <c r="P280" s="13" t="s">
        <v>985</v>
      </c>
      <c r="Q280" s="10" t="s">
        <v>1011</v>
      </c>
      <c r="R280" s="10"/>
      <c r="S280" s="10"/>
      <c r="U280" s="30">
        <v>0</v>
      </c>
      <c r="V280" s="30">
        <v>0</v>
      </c>
      <c r="W280" s="30">
        <v>0</v>
      </c>
      <c r="X280" s="68"/>
      <c r="Y280" s="9"/>
      <c r="Z280" s="9"/>
      <c r="AB280" s="14" t="s">
        <v>35</v>
      </c>
      <c r="AC280" s="14" t="s">
        <v>35</v>
      </c>
      <c r="AD280" s="14" t="s">
        <v>35</v>
      </c>
      <c r="AE280" s="29"/>
      <c r="AF280" s="29"/>
      <c r="AG280" s="29"/>
      <c r="AH280" s="29"/>
    </row>
    <row r="281" spans="2:37" ht="28.2" hidden="1" customHeight="1" x14ac:dyDescent="0.3">
      <c r="B281" s="13"/>
      <c r="C281" s="72">
        <v>1085</v>
      </c>
      <c r="D281" s="78" t="s">
        <v>1042</v>
      </c>
      <c r="E281" s="10"/>
      <c r="F281" s="10"/>
      <c r="G281" s="10"/>
      <c r="H281" s="10" t="s">
        <v>119</v>
      </c>
      <c r="I281" s="10" t="str">
        <f>RIGHT(J281,LEN(J281)-3)</f>
        <v>STP208</v>
      </c>
      <c r="J281" s="34" t="s">
        <v>928</v>
      </c>
      <c r="K281" s="10" t="s">
        <v>990</v>
      </c>
      <c r="L281" s="10" t="s">
        <v>995</v>
      </c>
      <c r="M281" s="10" t="s">
        <v>394</v>
      </c>
      <c r="N281" s="10" t="s">
        <v>394</v>
      </c>
      <c r="O281" s="10" t="str">
        <f>_xlfn.XLOOKUP(I281,[1]OTs_Extract!$A$2:$A$243,[1]OTs_Extract!$B$2:$B$243)</f>
        <v>H0, K0, L0, N0, T0</v>
      </c>
      <c r="P281" s="13" t="s">
        <v>985</v>
      </c>
      <c r="Q281" s="10" t="s">
        <v>1011</v>
      </c>
      <c r="R281" s="10"/>
      <c r="S281" s="10"/>
      <c r="U281" s="30">
        <v>0</v>
      </c>
      <c r="V281" s="30">
        <v>0</v>
      </c>
      <c r="W281" s="30">
        <v>0</v>
      </c>
      <c r="X281" s="68"/>
      <c r="Y281" s="9"/>
      <c r="Z281" s="9"/>
      <c r="AB281" s="14" t="s">
        <v>35</v>
      </c>
      <c r="AC281" s="14" t="s">
        <v>35</v>
      </c>
      <c r="AD281" s="14" t="s">
        <v>35</v>
      </c>
      <c r="AE281" s="29"/>
      <c r="AF281" s="29"/>
      <c r="AG281" s="29"/>
      <c r="AH281" s="29"/>
    </row>
    <row r="282" spans="2:37" ht="28.2" hidden="1" customHeight="1" x14ac:dyDescent="0.3">
      <c r="B282" s="13"/>
      <c r="C282" s="13">
        <v>1094</v>
      </c>
      <c r="D282" s="78" t="s">
        <v>1042</v>
      </c>
      <c r="E282" s="10"/>
      <c r="F282" s="79" t="s">
        <v>1049</v>
      </c>
      <c r="G282" s="10"/>
      <c r="H282" s="10" t="s">
        <v>119</v>
      </c>
      <c r="I282" s="10" t="str">
        <f>RIGHT(J282,LEN(J282)-3)</f>
        <v>STP215</v>
      </c>
      <c r="J282" s="34" t="s">
        <v>1009</v>
      </c>
      <c r="K282" s="10" t="s">
        <v>989</v>
      </c>
      <c r="L282" s="73" t="s">
        <v>1022</v>
      </c>
      <c r="M282" s="10" t="s">
        <v>394</v>
      </c>
      <c r="N282" s="10" t="s">
        <v>394</v>
      </c>
      <c r="O282" s="10" t="s">
        <v>1034</v>
      </c>
      <c r="P282" s="13" t="s">
        <v>1010</v>
      </c>
      <c r="Q282" s="10" t="s">
        <v>1011</v>
      </c>
      <c r="R282" s="10"/>
      <c r="S282" s="10"/>
      <c r="U282" s="30">
        <v>0</v>
      </c>
      <c r="V282" s="30">
        <v>0</v>
      </c>
      <c r="W282" s="30">
        <v>0</v>
      </c>
      <c r="X282" s="68"/>
      <c r="Y282" s="9"/>
      <c r="Z282" s="9"/>
      <c r="AB282" s="14" t="s">
        <v>35</v>
      </c>
      <c r="AC282" s="14" t="s">
        <v>35</v>
      </c>
      <c r="AD282" s="14" t="s">
        <v>35</v>
      </c>
      <c r="AE282" s="14" t="s">
        <v>35</v>
      </c>
      <c r="AF282" s="14" t="s">
        <v>35</v>
      </c>
      <c r="AG282" s="14" t="s">
        <v>35</v>
      </c>
      <c r="AH282" s="29"/>
    </row>
    <row r="283" spans="2:37" ht="28.2" hidden="1" customHeight="1" x14ac:dyDescent="0.3">
      <c r="B283" s="13"/>
      <c r="C283" s="10">
        <v>113</v>
      </c>
      <c r="D283" s="78" t="s">
        <v>1042</v>
      </c>
      <c r="E283" s="10"/>
      <c r="F283" s="10"/>
      <c r="G283" s="10"/>
      <c r="H283" s="10" t="s">
        <v>119</v>
      </c>
      <c r="I283" s="10" t="s">
        <v>421</v>
      </c>
      <c r="J283" s="10" t="s">
        <v>422</v>
      </c>
      <c r="K283" s="10" t="str">
        <f>+LEFT(J283,2)</f>
        <v>S1</v>
      </c>
      <c r="L283" s="26" t="s">
        <v>423</v>
      </c>
      <c r="M283" s="10" t="s">
        <v>394</v>
      </c>
      <c r="N283" s="10" t="s">
        <v>394</v>
      </c>
      <c r="O283" s="10" t="s">
        <v>970</v>
      </c>
      <c r="P283" s="13" t="s">
        <v>33</v>
      </c>
      <c r="Q283" s="10" t="s">
        <v>34</v>
      </c>
      <c r="R283" s="14" t="s">
        <v>424</v>
      </c>
      <c r="S283" s="10" t="s">
        <v>407</v>
      </c>
      <c r="U283" s="30">
        <v>0</v>
      </c>
      <c r="V283" s="30">
        <v>18.554677801131934</v>
      </c>
      <c r="W283" s="30">
        <v>0</v>
      </c>
      <c r="X283" s="68"/>
      <c r="Y283" s="9"/>
      <c r="Z283" s="9"/>
      <c r="AB283" s="14" t="s">
        <v>35</v>
      </c>
      <c r="AC283" s="14" t="s">
        <v>35</v>
      </c>
      <c r="AD283" s="29"/>
      <c r="AE283" s="14" t="s">
        <v>35</v>
      </c>
      <c r="AF283" s="14" t="s">
        <v>35</v>
      </c>
      <c r="AG283" s="29"/>
      <c r="AH283" s="29"/>
    </row>
    <row r="284" spans="2:37" ht="28.2" hidden="1" customHeight="1" x14ac:dyDescent="0.3">
      <c r="B284" s="13"/>
      <c r="C284" s="10">
        <v>114</v>
      </c>
      <c r="D284" s="78" t="s">
        <v>1042</v>
      </c>
      <c r="E284" s="10"/>
      <c r="F284" s="10"/>
      <c r="G284" s="10"/>
      <c r="H284" s="10" t="s">
        <v>119</v>
      </c>
      <c r="I284" s="10" t="s">
        <v>425</v>
      </c>
      <c r="J284" s="10" t="s">
        <v>426</v>
      </c>
      <c r="K284" s="10" t="str">
        <f>+LEFT(J284,2)</f>
        <v>S1</v>
      </c>
      <c r="L284" s="26" t="s">
        <v>427</v>
      </c>
      <c r="M284" s="10" t="s">
        <v>394</v>
      </c>
      <c r="N284" s="34" t="s">
        <v>428</v>
      </c>
      <c r="O284" s="10" t="s">
        <v>971</v>
      </c>
      <c r="P284" s="13" t="s">
        <v>33</v>
      </c>
      <c r="Q284" s="10" t="s">
        <v>34</v>
      </c>
      <c r="R284" s="37" t="s">
        <v>429</v>
      </c>
      <c r="S284" s="34"/>
      <c r="U284" s="30">
        <v>4.6036324786324796</v>
      </c>
      <c r="V284" s="30">
        <v>141.02658862876254</v>
      </c>
      <c r="W284" s="30">
        <v>0</v>
      </c>
      <c r="X284" s="68"/>
      <c r="Y284" s="9"/>
      <c r="Z284" s="9"/>
      <c r="AB284" s="14" t="s">
        <v>35</v>
      </c>
      <c r="AC284" s="14" t="s">
        <v>35</v>
      </c>
      <c r="AD284" s="14" t="s">
        <v>35</v>
      </c>
      <c r="AE284" s="14" t="s">
        <v>35</v>
      </c>
      <c r="AF284" s="14" t="s">
        <v>35</v>
      </c>
      <c r="AG284" s="29"/>
      <c r="AH284" s="29"/>
    </row>
    <row r="285" spans="2:37" ht="28.2" hidden="1" customHeight="1" x14ac:dyDescent="0.3">
      <c r="B285" s="13"/>
      <c r="C285" s="10">
        <v>115</v>
      </c>
      <c r="D285" s="78" t="s">
        <v>1042</v>
      </c>
      <c r="E285" s="10"/>
      <c r="F285" s="10"/>
      <c r="G285" s="10"/>
      <c r="H285" s="10" t="s">
        <v>119</v>
      </c>
      <c r="I285" s="10" t="s">
        <v>430</v>
      </c>
      <c r="J285" s="10" t="s">
        <v>431</v>
      </c>
      <c r="K285" s="10" t="str">
        <f>+LEFT(J285,2)</f>
        <v>S1</v>
      </c>
      <c r="L285" s="26" t="s">
        <v>432</v>
      </c>
      <c r="M285" s="10" t="s">
        <v>394</v>
      </c>
      <c r="N285" s="10" t="s">
        <v>394</v>
      </c>
      <c r="O285" s="10" t="s">
        <v>970</v>
      </c>
      <c r="P285" s="13" t="s">
        <v>213</v>
      </c>
      <c r="Q285" s="10" t="s">
        <v>34</v>
      </c>
      <c r="R285" s="37" t="s">
        <v>1008</v>
      </c>
      <c r="S285" s="10"/>
      <c r="U285" s="30">
        <v>0</v>
      </c>
      <c r="V285" s="69">
        <v>16.37141586317766</v>
      </c>
      <c r="W285" s="30">
        <v>0</v>
      </c>
      <c r="X285" s="68"/>
      <c r="Y285" s="9"/>
      <c r="Z285" s="9"/>
      <c r="AB285" s="14" t="s">
        <v>35</v>
      </c>
      <c r="AC285" s="14" t="s">
        <v>35</v>
      </c>
      <c r="AD285" s="29"/>
      <c r="AE285" s="14" t="s">
        <v>35</v>
      </c>
      <c r="AF285" s="14" t="s">
        <v>35</v>
      </c>
      <c r="AG285" s="29"/>
      <c r="AH285" s="29"/>
    </row>
    <row r="286" spans="2:37" ht="28.2" hidden="1" customHeight="1" x14ac:dyDescent="0.3">
      <c r="B286" s="13"/>
      <c r="C286" s="10">
        <v>116</v>
      </c>
      <c r="D286" s="78" t="s">
        <v>1042</v>
      </c>
      <c r="E286" s="10"/>
      <c r="F286" s="10"/>
      <c r="G286" s="10"/>
      <c r="H286" s="10" t="s">
        <v>119</v>
      </c>
      <c r="I286" s="10" t="s">
        <v>433</v>
      </c>
      <c r="J286" s="10" t="s">
        <v>434</v>
      </c>
      <c r="K286" s="10" t="str">
        <f>+LEFT(J286,2)</f>
        <v>S1</v>
      </c>
      <c r="L286" s="26" t="s">
        <v>435</v>
      </c>
      <c r="M286" s="10" t="s">
        <v>394</v>
      </c>
      <c r="N286" s="10" t="s">
        <v>394</v>
      </c>
      <c r="O286" s="10" t="s">
        <v>970</v>
      </c>
      <c r="P286" s="13" t="s">
        <v>213</v>
      </c>
      <c r="Q286" s="10" t="s">
        <v>34</v>
      </c>
      <c r="R286" s="14" t="s">
        <v>436</v>
      </c>
      <c r="S286" s="10"/>
      <c r="U286" s="30">
        <v>0</v>
      </c>
      <c r="V286" s="30">
        <v>16.03414029879054</v>
      </c>
      <c r="W286" s="30">
        <v>0</v>
      </c>
      <c r="X286" s="68"/>
      <c r="Y286" s="9"/>
      <c r="Z286" s="9"/>
      <c r="AB286" s="14" t="s">
        <v>35</v>
      </c>
      <c r="AC286" s="14" t="s">
        <v>35</v>
      </c>
      <c r="AD286" s="29"/>
      <c r="AE286" s="14" t="s">
        <v>35</v>
      </c>
      <c r="AF286" s="14" t="s">
        <v>35</v>
      </c>
      <c r="AG286" s="29"/>
      <c r="AH286" s="29"/>
    </row>
    <row r="287" spans="2:37" ht="28.2" hidden="1" customHeight="1" x14ac:dyDescent="0.3">
      <c r="B287" s="13"/>
      <c r="C287" s="10">
        <v>117</v>
      </c>
      <c r="D287" s="78" t="s">
        <v>1042</v>
      </c>
      <c r="E287" s="10"/>
      <c r="F287" s="79" t="s">
        <v>1049</v>
      </c>
      <c r="G287" s="10"/>
      <c r="H287" s="10" t="s">
        <v>119</v>
      </c>
      <c r="I287" s="10" t="s">
        <v>437</v>
      </c>
      <c r="J287" s="10" t="s">
        <v>438</v>
      </c>
      <c r="K287" s="10" t="str">
        <f>+LEFT(J287,2)</f>
        <v>S1</v>
      </c>
      <c r="L287" s="26" t="s">
        <v>439</v>
      </c>
      <c r="M287" s="10" t="s">
        <v>394</v>
      </c>
      <c r="N287" s="10" t="s">
        <v>394</v>
      </c>
      <c r="O287" s="10" t="s">
        <v>972</v>
      </c>
      <c r="P287" s="13" t="s">
        <v>985</v>
      </c>
      <c r="Q287" s="10" t="s">
        <v>34</v>
      </c>
      <c r="R287" s="37" t="s">
        <v>440</v>
      </c>
      <c r="S287" s="10" t="s">
        <v>441</v>
      </c>
      <c r="U287" s="30">
        <v>3.6826923076923079</v>
      </c>
      <c r="V287" s="30">
        <v>94.473130641491679</v>
      </c>
      <c r="W287" s="30">
        <v>1.8199896694214877</v>
      </c>
      <c r="X287" s="68"/>
      <c r="Y287" s="9"/>
      <c r="Z287" s="9"/>
      <c r="AB287" s="14" t="s">
        <v>35</v>
      </c>
      <c r="AC287" s="29"/>
      <c r="AD287" s="14" t="s">
        <v>35</v>
      </c>
      <c r="AE287" s="14" t="s">
        <v>35</v>
      </c>
      <c r="AF287" s="14" t="s">
        <v>35</v>
      </c>
      <c r="AG287" s="14" t="s">
        <v>35</v>
      </c>
      <c r="AH287" s="29"/>
    </row>
    <row r="288" spans="2:37" ht="28.2" hidden="1" customHeight="1" x14ac:dyDescent="0.3">
      <c r="B288" s="13"/>
      <c r="C288" s="13">
        <v>1114</v>
      </c>
      <c r="D288" s="78" t="s">
        <v>1042</v>
      </c>
      <c r="E288" s="10"/>
      <c r="F288" s="10"/>
      <c r="G288" s="10"/>
      <c r="H288" s="10" t="s">
        <v>119</v>
      </c>
      <c r="I288" s="10" t="str">
        <f t="shared" ref="I288:I299" si="10">RIGHT(J288,LEN(J288)-3)</f>
        <v>STU213</v>
      </c>
      <c r="J288" s="34" t="s">
        <v>1017</v>
      </c>
      <c r="K288" s="10" t="s">
        <v>989</v>
      </c>
      <c r="L288" s="73" t="s">
        <v>1026</v>
      </c>
      <c r="M288" s="10" t="s">
        <v>394</v>
      </c>
      <c r="N288" s="10" t="s">
        <v>394</v>
      </c>
      <c r="O288" s="10" t="s">
        <v>970</v>
      </c>
      <c r="P288" s="13" t="s">
        <v>1010</v>
      </c>
      <c r="Q288" s="10" t="s">
        <v>1011</v>
      </c>
      <c r="R288" s="10"/>
      <c r="S288" s="10"/>
      <c r="U288" s="30">
        <v>0</v>
      </c>
      <c r="V288" s="30">
        <v>0</v>
      </c>
      <c r="W288" s="30">
        <v>0</v>
      </c>
      <c r="Y288" s="9"/>
      <c r="Z288" s="9"/>
      <c r="AB288" s="14" t="s">
        <v>35</v>
      </c>
      <c r="AC288" s="14" t="s">
        <v>35</v>
      </c>
      <c r="AD288" s="29"/>
      <c r="AE288" s="14" t="s">
        <v>35</v>
      </c>
      <c r="AF288" s="14" t="s">
        <v>35</v>
      </c>
      <c r="AG288" s="29"/>
      <c r="AH288" s="29"/>
    </row>
    <row r="289" spans="2:34" ht="28.2" hidden="1" customHeight="1" x14ac:dyDescent="0.3">
      <c r="B289" s="13"/>
      <c r="C289" s="13">
        <v>1115</v>
      </c>
      <c r="D289" s="78" t="s">
        <v>1042</v>
      </c>
      <c r="E289" s="10"/>
      <c r="F289" s="10"/>
      <c r="G289" s="10"/>
      <c r="H289" s="10" t="s">
        <v>119</v>
      </c>
      <c r="I289" s="10" t="str">
        <f t="shared" si="10"/>
        <v>STU214</v>
      </c>
      <c r="J289" s="34" t="s">
        <v>1018</v>
      </c>
      <c r="K289" s="10" t="s">
        <v>990</v>
      </c>
      <c r="L289" s="73" t="s">
        <v>1027</v>
      </c>
      <c r="M289" s="10" t="s">
        <v>394</v>
      </c>
      <c r="N289" s="10" t="s">
        <v>394</v>
      </c>
      <c r="O289" s="10" t="s">
        <v>969</v>
      </c>
      <c r="P289" s="13" t="s">
        <v>1010</v>
      </c>
      <c r="Q289" s="10" t="s">
        <v>1011</v>
      </c>
      <c r="R289" s="10"/>
      <c r="S289" s="10"/>
      <c r="U289" s="30">
        <v>0</v>
      </c>
      <c r="V289" s="30">
        <v>0</v>
      </c>
      <c r="W289" s="30">
        <v>0</v>
      </c>
      <c r="Y289" s="9"/>
      <c r="Z289" s="9"/>
      <c r="AB289" s="29"/>
      <c r="AC289" s="14" t="s">
        <v>35</v>
      </c>
      <c r="AD289" s="14" t="s">
        <v>35</v>
      </c>
      <c r="AE289" s="14" t="s">
        <v>35</v>
      </c>
      <c r="AF289" s="14" t="s">
        <v>35</v>
      </c>
      <c r="AG289" s="29"/>
      <c r="AH289" s="29"/>
    </row>
    <row r="290" spans="2:34" hidden="1" x14ac:dyDescent="0.3">
      <c r="B290" s="13"/>
      <c r="C290" s="13">
        <v>1116</v>
      </c>
      <c r="D290" s="78" t="s">
        <v>1042</v>
      </c>
      <c r="E290" s="10"/>
      <c r="F290" s="10"/>
      <c r="G290" s="10"/>
      <c r="H290" s="10" t="s">
        <v>119</v>
      </c>
      <c r="I290" s="10" t="str">
        <f t="shared" si="10"/>
        <v>STU217</v>
      </c>
      <c r="J290" s="34" t="s">
        <v>1019</v>
      </c>
      <c r="K290" s="10" t="s">
        <v>989</v>
      </c>
      <c r="L290" s="73" t="s">
        <v>1028</v>
      </c>
      <c r="M290" s="10" t="s">
        <v>394</v>
      </c>
      <c r="N290" s="10" t="s">
        <v>394</v>
      </c>
      <c r="O290" s="10" t="s">
        <v>961</v>
      </c>
      <c r="P290" s="13" t="s">
        <v>1010</v>
      </c>
      <c r="Q290" s="10" t="s">
        <v>1011</v>
      </c>
      <c r="R290" s="10"/>
      <c r="S290" s="10"/>
      <c r="U290" s="30">
        <v>0</v>
      </c>
      <c r="V290" s="30">
        <v>0</v>
      </c>
      <c r="W290" s="30">
        <v>0</v>
      </c>
      <c r="X290" s="68"/>
      <c r="Y290" s="9"/>
      <c r="Z290" s="9"/>
      <c r="AB290" s="14" t="s">
        <v>35</v>
      </c>
      <c r="AC290" s="14" t="s">
        <v>35</v>
      </c>
      <c r="AD290" s="14" t="s">
        <v>35</v>
      </c>
      <c r="AE290" s="14" t="s">
        <v>35</v>
      </c>
      <c r="AF290" s="14" t="s">
        <v>35</v>
      </c>
      <c r="AG290" s="29"/>
      <c r="AH290" s="29"/>
    </row>
    <row r="291" spans="2:34" hidden="1" x14ac:dyDescent="0.3">
      <c r="B291" s="13"/>
      <c r="C291" s="13">
        <v>1067</v>
      </c>
      <c r="D291" s="75" t="s">
        <v>1036</v>
      </c>
      <c r="E291" s="10"/>
      <c r="F291" s="79" t="s">
        <v>1049</v>
      </c>
      <c r="G291" s="10"/>
      <c r="H291" s="10" t="s">
        <v>109</v>
      </c>
      <c r="I291" s="10" t="str">
        <f t="shared" si="10"/>
        <v>T1025-02</v>
      </c>
      <c r="J291" s="34" t="s">
        <v>930</v>
      </c>
      <c r="K291" s="10" t="s">
        <v>992</v>
      </c>
      <c r="L291" s="10" t="s">
        <v>997</v>
      </c>
      <c r="M291" s="10" t="s">
        <v>394</v>
      </c>
      <c r="N291" s="10" t="s">
        <v>394</v>
      </c>
      <c r="O291" s="10" t="s">
        <v>1031</v>
      </c>
      <c r="P291" s="13" t="s">
        <v>1010</v>
      </c>
      <c r="Q291" s="10" t="s">
        <v>1011</v>
      </c>
      <c r="R291" s="10"/>
      <c r="S291" s="10"/>
      <c r="U291" s="30">
        <v>0</v>
      </c>
      <c r="V291" s="30">
        <v>0</v>
      </c>
      <c r="W291" s="30">
        <v>0</v>
      </c>
      <c r="Y291" s="9"/>
      <c r="Z291" s="9"/>
      <c r="AB291" s="29"/>
      <c r="AC291" s="29"/>
      <c r="AD291" s="14" t="s">
        <v>35</v>
      </c>
      <c r="AE291" s="14" t="s">
        <v>35</v>
      </c>
      <c r="AF291" s="29"/>
      <c r="AG291" s="14" t="s">
        <v>35</v>
      </c>
      <c r="AH291" s="29"/>
    </row>
    <row r="292" spans="2:34" hidden="1" x14ac:dyDescent="0.3">
      <c r="B292" s="13"/>
      <c r="C292" s="13">
        <v>1068</v>
      </c>
      <c r="D292" s="75" t="s">
        <v>1036</v>
      </c>
      <c r="E292" s="10"/>
      <c r="F292" s="10"/>
      <c r="G292" s="10"/>
      <c r="H292" s="10" t="s">
        <v>109</v>
      </c>
      <c r="I292" s="10" t="str">
        <f t="shared" si="10"/>
        <v>T1025-03/13</v>
      </c>
      <c r="J292" s="34" t="s">
        <v>1020</v>
      </c>
      <c r="K292" s="10" t="s">
        <v>992</v>
      </c>
      <c r="L292" s="10" t="s">
        <v>998</v>
      </c>
      <c r="M292" s="10" t="s">
        <v>394</v>
      </c>
      <c r="N292" s="10" t="s">
        <v>394</v>
      </c>
      <c r="O292" s="10" t="s">
        <v>951</v>
      </c>
      <c r="P292" s="13" t="s">
        <v>985</v>
      </c>
      <c r="Q292" s="10" t="s">
        <v>1011</v>
      </c>
      <c r="R292" s="10"/>
      <c r="S292" s="10"/>
      <c r="U292" s="30">
        <v>0</v>
      </c>
      <c r="V292" s="30">
        <v>0</v>
      </c>
      <c r="W292" s="30">
        <v>0</v>
      </c>
      <c r="Y292" s="9"/>
      <c r="Z292" s="9"/>
      <c r="AB292" s="29"/>
      <c r="AC292" s="29"/>
      <c r="AD292" s="14" t="s">
        <v>35</v>
      </c>
      <c r="AE292" s="29"/>
      <c r="AF292" s="29"/>
      <c r="AG292" s="29"/>
      <c r="AH292" s="29"/>
    </row>
    <row r="293" spans="2:34" hidden="1" x14ac:dyDescent="0.3">
      <c r="B293" s="39"/>
      <c r="C293" s="13">
        <v>1069</v>
      </c>
      <c r="D293" s="75" t="s">
        <v>1036</v>
      </c>
      <c r="E293" s="10"/>
      <c r="F293" s="79" t="s">
        <v>1049</v>
      </c>
      <c r="G293" s="38"/>
      <c r="H293" s="38" t="s">
        <v>109</v>
      </c>
      <c r="I293" s="38" t="str">
        <f t="shared" si="10"/>
        <v>T1025-04</v>
      </c>
      <c r="J293" s="70" t="s">
        <v>931</v>
      </c>
      <c r="K293" s="38" t="s">
        <v>992</v>
      </c>
      <c r="L293" s="10" t="s">
        <v>999</v>
      </c>
      <c r="M293" s="10" t="s">
        <v>394</v>
      </c>
      <c r="N293" s="10" t="s">
        <v>394</v>
      </c>
      <c r="O293" s="38" t="s">
        <v>1031</v>
      </c>
      <c r="P293" s="39" t="s">
        <v>1010</v>
      </c>
      <c r="Q293" s="38" t="s">
        <v>1011</v>
      </c>
      <c r="R293" s="38"/>
      <c r="S293" s="38"/>
      <c r="U293" s="30">
        <v>0</v>
      </c>
      <c r="V293" s="30">
        <v>0</v>
      </c>
      <c r="W293" s="30">
        <v>0</v>
      </c>
      <c r="Y293" s="9"/>
      <c r="Z293" s="9"/>
      <c r="AB293" s="29"/>
      <c r="AC293" s="29"/>
      <c r="AD293" s="14" t="s">
        <v>35</v>
      </c>
      <c r="AE293" s="14" t="s">
        <v>35</v>
      </c>
      <c r="AF293" s="29"/>
      <c r="AG293" s="14" t="s">
        <v>35</v>
      </c>
      <c r="AH293" s="29"/>
    </row>
    <row r="294" spans="2:34" hidden="1" x14ac:dyDescent="0.3">
      <c r="B294" s="39"/>
      <c r="C294" s="13">
        <v>1071</v>
      </c>
      <c r="D294" s="75" t="s">
        <v>1036</v>
      </c>
      <c r="E294" s="10"/>
      <c r="F294" s="80" t="s">
        <v>1049</v>
      </c>
      <c r="G294" s="38"/>
      <c r="H294" s="38" t="s">
        <v>109</v>
      </c>
      <c r="I294" s="38" t="str">
        <f t="shared" si="10"/>
        <v>T1025-06</v>
      </c>
      <c r="J294" s="70" t="s">
        <v>933</v>
      </c>
      <c r="K294" s="38" t="s">
        <v>992</v>
      </c>
      <c r="L294" s="10" t="s">
        <v>1000</v>
      </c>
      <c r="M294" s="10" t="s">
        <v>394</v>
      </c>
      <c r="N294" s="10" t="s">
        <v>394</v>
      </c>
      <c r="O294" s="38" t="s">
        <v>1031</v>
      </c>
      <c r="P294" s="39" t="s">
        <v>985</v>
      </c>
      <c r="Q294" s="38" t="s">
        <v>1011</v>
      </c>
      <c r="R294" s="38"/>
      <c r="S294" s="38"/>
      <c r="U294" s="30">
        <v>0</v>
      </c>
      <c r="V294" s="30">
        <v>0</v>
      </c>
      <c r="W294" s="30">
        <v>0</v>
      </c>
      <c r="Y294" s="9"/>
      <c r="Z294" s="9"/>
      <c r="AB294" s="29"/>
      <c r="AC294" s="29"/>
      <c r="AD294" s="14" t="s">
        <v>35</v>
      </c>
      <c r="AE294" s="14" t="s">
        <v>35</v>
      </c>
      <c r="AF294" s="29"/>
      <c r="AG294" s="14" t="s">
        <v>35</v>
      </c>
      <c r="AH294" s="29"/>
    </row>
    <row r="295" spans="2:34" hidden="1" x14ac:dyDescent="0.3">
      <c r="B295" s="39"/>
      <c r="C295" s="13">
        <v>1072</v>
      </c>
      <c r="D295" s="75" t="s">
        <v>1036</v>
      </c>
      <c r="E295" s="10"/>
      <c r="F295" s="38"/>
      <c r="G295" s="38"/>
      <c r="H295" s="38" t="s">
        <v>109</v>
      </c>
      <c r="I295" s="38" t="str">
        <f t="shared" si="10"/>
        <v>T1025-09</v>
      </c>
      <c r="J295" s="70" t="s">
        <v>934</v>
      </c>
      <c r="K295" s="38" t="s">
        <v>992</v>
      </c>
      <c r="L295" s="10" t="s">
        <v>1001</v>
      </c>
      <c r="M295" s="38" t="s">
        <v>394</v>
      </c>
      <c r="N295" s="38" t="s">
        <v>394</v>
      </c>
      <c r="O295" s="38" t="s">
        <v>951</v>
      </c>
      <c r="P295" s="39" t="s">
        <v>985</v>
      </c>
      <c r="Q295" s="38" t="s">
        <v>1011</v>
      </c>
      <c r="R295" s="38"/>
      <c r="S295" s="38"/>
      <c r="U295" s="30">
        <v>0</v>
      </c>
      <c r="V295" s="30">
        <v>0</v>
      </c>
      <c r="W295" s="30">
        <v>0</v>
      </c>
      <c r="Y295" s="9"/>
      <c r="Z295" s="9"/>
      <c r="AB295" s="29"/>
      <c r="AC295" s="29"/>
      <c r="AD295" s="14" t="s">
        <v>35</v>
      </c>
      <c r="AE295" s="29"/>
      <c r="AF295" s="29"/>
      <c r="AG295" s="29"/>
      <c r="AH295" s="29"/>
    </row>
    <row r="296" spans="2:34" ht="52.95" hidden="1" customHeight="1" x14ac:dyDescent="0.3">
      <c r="B296" s="13"/>
      <c r="C296" s="13">
        <v>1073</v>
      </c>
      <c r="D296" s="75" t="s">
        <v>1036</v>
      </c>
      <c r="E296" s="10"/>
      <c r="F296" s="10"/>
      <c r="G296" s="38"/>
      <c r="H296" s="38" t="s">
        <v>109</v>
      </c>
      <c r="I296" s="10" t="str">
        <f t="shared" si="10"/>
        <v>T1025-10</v>
      </c>
      <c r="J296" s="70" t="s">
        <v>935</v>
      </c>
      <c r="K296" s="10" t="s">
        <v>992</v>
      </c>
      <c r="L296" s="10" t="s">
        <v>1001</v>
      </c>
      <c r="M296" s="10" t="s">
        <v>394</v>
      </c>
      <c r="N296" s="10" t="s">
        <v>394</v>
      </c>
      <c r="O296" s="38" t="s">
        <v>951</v>
      </c>
      <c r="P296" s="39" t="s">
        <v>985</v>
      </c>
      <c r="Q296" s="38" t="s">
        <v>1011</v>
      </c>
      <c r="R296" s="10"/>
      <c r="S296" s="10"/>
      <c r="U296" s="30">
        <v>0</v>
      </c>
      <c r="V296" s="30">
        <v>0</v>
      </c>
      <c r="W296" s="30">
        <v>0</v>
      </c>
      <c r="Y296" s="9"/>
      <c r="Z296" s="9"/>
      <c r="AB296" s="29"/>
      <c r="AC296" s="29"/>
      <c r="AD296" s="14" t="s">
        <v>35</v>
      </c>
      <c r="AE296" s="29"/>
      <c r="AF296" s="29"/>
      <c r="AG296" s="29"/>
      <c r="AH296" s="29"/>
    </row>
    <row r="297" spans="2:34" ht="52.95" hidden="1" customHeight="1" x14ac:dyDescent="0.3">
      <c r="B297" s="13"/>
      <c r="C297" s="13">
        <v>1074</v>
      </c>
      <c r="D297" s="75" t="s">
        <v>1036</v>
      </c>
      <c r="E297" s="10"/>
      <c r="F297" s="10"/>
      <c r="G297" s="10"/>
      <c r="H297" s="10" t="s">
        <v>109</v>
      </c>
      <c r="I297" s="10" t="str">
        <f t="shared" si="10"/>
        <v>T1025-15</v>
      </c>
      <c r="J297" s="34" t="s">
        <v>936</v>
      </c>
      <c r="K297" s="10" t="s">
        <v>992</v>
      </c>
      <c r="L297" s="10" t="s">
        <v>1002</v>
      </c>
      <c r="M297" s="10" t="s">
        <v>394</v>
      </c>
      <c r="N297" s="10" t="s">
        <v>394</v>
      </c>
      <c r="O297" s="38" t="s">
        <v>1032</v>
      </c>
      <c r="P297" s="39" t="s">
        <v>1010</v>
      </c>
      <c r="Q297" s="38" t="s">
        <v>1011</v>
      </c>
      <c r="R297" s="10"/>
      <c r="S297" s="10"/>
      <c r="U297" s="30">
        <v>0</v>
      </c>
      <c r="V297" s="30">
        <v>0</v>
      </c>
      <c r="W297" s="30">
        <v>0</v>
      </c>
      <c r="Y297" s="9"/>
      <c r="Z297" s="9"/>
      <c r="AB297" s="29"/>
      <c r="AC297" s="29"/>
      <c r="AD297" s="14" t="s">
        <v>35</v>
      </c>
      <c r="AE297" s="14" t="s">
        <v>35</v>
      </c>
      <c r="AF297" s="29"/>
      <c r="AG297" s="29"/>
      <c r="AH297" s="29"/>
    </row>
    <row r="298" spans="2:34" ht="28.2" hidden="1" customHeight="1" x14ac:dyDescent="0.3">
      <c r="B298" s="39"/>
      <c r="C298" s="13">
        <v>1070</v>
      </c>
      <c r="D298" s="75" t="s">
        <v>1036</v>
      </c>
      <c r="E298" s="10"/>
      <c r="F298" s="80" t="s">
        <v>1049</v>
      </c>
      <c r="G298" s="38"/>
      <c r="H298" s="38" t="s">
        <v>109</v>
      </c>
      <c r="I298" s="38" t="str">
        <f t="shared" si="10"/>
        <v>T1025-5AB</v>
      </c>
      <c r="J298" s="70" t="s">
        <v>932</v>
      </c>
      <c r="K298" s="38" t="s">
        <v>992</v>
      </c>
      <c r="L298" s="10" t="s">
        <v>1004</v>
      </c>
      <c r="M298" s="38" t="s">
        <v>394</v>
      </c>
      <c r="N298" s="10" t="s">
        <v>394</v>
      </c>
      <c r="O298" s="38" t="s">
        <v>1031</v>
      </c>
      <c r="P298" s="39" t="s">
        <v>985</v>
      </c>
      <c r="Q298" s="38" t="s">
        <v>1011</v>
      </c>
      <c r="R298" s="38"/>
      <c r="S298" s="38"/>
      <c r="U298" s="30">
        <v>0</v>
      </c>
      <c r="V298" s="30">
        <v>0</v>
      </c>
      <c r="W298" s="30">
        <v>0</v>
      </c>
      <c r="Y298" s="9"/>
      <c r="Z298" s="9"/>
      <c r="AB298" s="29"/>
      <c r="AC298" s="29"/>
      <c r="AD298" s="14" t="s">
        <v>35</v>
      </c>
      <c r="AE298" s="14" t="s">
        <v>35</v>
      </c>
      <c r="AF298" s="29"/>
      <c r="AG298" s="14" t="s">
        <v>35</v>
      </c>
      <c r="AH298" s="29"/>
    </row>
    <row r="299" spans="2:34" hidden="1" x14ac:dyDescent="0.3">
      <c r="B299" s="13"/>
      <c r="C299" s="13">
        <v>1100</v>
      </c>
      <c r="D299" s="78" t="s">
        <v>1042</v>
      </c>
      <c r="E299" s="10"/>
      <c r="F299" s="80" t="s">
        <v>1049</v>
      </c>
      <c r="G299" s="38"/>
      <c r="H299" s="10" t="s">
        <v>109</v>
      </c>
      <c r="I299" s="10" t="str">
        <f t="shared" si="10"/>
        <v>TTP216</v>
      </c>
      <c r="J299" s="34" t="s">
        <v>1012</v>
      </c>
      <c r="K299" s="10" t="s">
        <v>992</v>
      </c>
      <c r="L299" s="73" t="s">
        <v>1023</v>
      </c>
      <c r="M299" s="10" t="s">
        <v>394</v>
      </c>
      <c r="N299" s="10" t="s">
        <v>394</v>
      </c>
      <c r="O299" s="10" t="s">
        <v>1034</v>
      </c>
      <c r="P299" s="13" t="s">
        <v>1010</v>
      </c>
      <c r="Q299" s="10" t="s">
        <v>1011</v>
      </c>
      <c r="R299" s="10"/>
      <c r="S299" s="10"/>
      <c r="U299" s="30">
        <v>0</v>
      </c>
      <c r="V299" s="30">
        <v>0</v>
      </c>
      <c r="W299" s="30">
        <v>0</v>
      </c>
      <c r="X299" s="68"/>
      <c r="Y299" s="9"/>
      <c r="Z299" s="9"/>
      <c r="AB299" s="14" t="s">
        <v>35</v>
      </c>
      <c r="AC299" s="14" t="s">
        <v>35</v>
      </c>
      <c r="AD299" s="14" t="s">
        <v>35</v>
      </c>
      <c r="AE299" s="14" t="s">
        <v>35</v>
      </c>
      <c r="AF299" s="14" t="s">
        <v>35</v>
      </c>
      <c r="AG299" s="14" t="s">
        <v>35</v>
      </c>
      <c r="AH299" s="29"/>
    </row>
    <row r="300" spans="2:34" ht="28.8" hidden="1" x14ac:dyDescent="0.3">
      <c r="B300" s="13"/>
      <c r="C300" s="10">
        <v>229</v>
      </c>
      <c r="D300" s="78" t="s">
        <v>1042</v>
      </c>
      <c r="E300" s="10"/>
      <c r="F300" s="10"/>
      <c r="G300" s="10"/>
      <c r="H300" s="10" t="s">
        <v>109</v>
      </c>
      <c r="I300" s="51" t="s">
        <v>775</v>
      </c>
      <c r="J300" s="10" t="s">
        <v>776</v>
      </c>
      <c r="K300" s="10" t="str">
        <f>+LEFT(J300,2)</f>
        <v>S4</v>
      </c>
      <c r="L300" s="26" t="s">
        <v>777</v>
      </c>
      <c r="M300" s="10" t="s">
        <v>394</v>
      </c>
      <c r="N300" s="10" t="s">
        <v>947</v>
      </c>
      <c r="O300" s="10" t="s">
        <v>961</v>
      </c>
      <c r="P300" s="13" t="s">
        <v>1010</v>
      </c>
      <c r="Q300" s="10" t="s">
        <v>34</v>
      </c>
      <c r="R300" s="14" t="s">
        <v>778</v>
      </c>
      <c r="S300" s="10" t="s">
        <v>779</v>
      </c>
      <c r="U300" s="30">
        <v>20.254985754985757</v>
      </c>
      <c r="V300" s="30">
        <v>42.368335261451534</v>
      </c>
      <c r="W300" s="30">
        <v>0</v>
      </c>
      <c r="X300" s="68"/>
      <c r="Y300" s="9"/>
      <c r="Z300" s="9"/>
      <c r="AB300" s="14" t="s">
        <v>35</v>
      </c>
      <c r="AC300" s="14" t="s">
        <v>35</v>
      </c>
      <c r="AD300" s="14" t="s">
        <v>35</v>
      </c>
      <c r="AE300" s="14" t="s">
        <v>35</v>
      </c>
      <c r="AF300" s="14" t="s">
        <v>35</v>
      </c>
      <c r="AG300" s="29"/>
      <c r="AH300" s="29"/>
    </row>
    <row r="301" spans="2:34" hidden="1" x14ac:dyDescent="0.3">
      <c r="B301" s="39"/>
      <c r="C301" s="13">
        <v>230</v>
      </c>
      <c r="D301" s="78" t="s">
        <v>1042</v>
      </c>
      <c r="E301" s="10"/>
      <c r="F301" s="10"/>
      <c r="G301" s="10"/>
      <c r="H301" s="10" t="s">
        <v>119</v>
      </c>
      <c r="I301" s="51" t="s">
        <v>780</v>
      </c>
      <c r="J301" s="10" t="s">
        <v>781</v>
      </c>
      <c r="K301" s="10" t="str">
        <f>+LEFT(J301,2)</f>
        <v>S4</v>
      </c>
      <c r="L301" s="26" t="s">
        <v>782</v>
      </c>
      <c r="M301" s="10" t="s">
        <v>394</v>
      </c>
      <c r="N301" s="10" t="s">
        <v>394</v>
      </c>
      <c r="O301" s="10" t="s">
        <v>949</v>
      </c>
      <c r="P301" s="13" t="s">
        <v>33</v>
      </c>
      <c r="Q301" s="10" t="s">
        <v>34</v>
      </c>
      <c r="R301" s="10"/>
      <c r="S301" s="38"/>
      <c r="U301" s="30">
        <v>0</v>
      </c>
      <c r="V301" s="30">
        <v>8.5989017373788972</v>
      </c>
      <c r="W301" s="30">
        <v>0</v>
      </c>
      <c r="X301" s="68"/>
      <c r="Y301" s="9"/>
      <c r="Z301" s="9"/>
      <c r="AB301" s="29"/>
      <c r="AC301" s="14" t="s">
        <v>35</v>
      </c>
      <c r="AD301" s="29"/>
      <c r="AE301" s="14" t="s">
        <v>35</v>
      </c>
      <c r="AF301" s="29"/>
      <c r="AG301" s="29"/>
      <c r="AH301" s="29"/>
    </row>
    <row r="302" spans="2:34" hidden="1" x14ac:dyDescent="0.3">
      <c r="B302" s="39"/>
      <c r="C302" s="71"/>
      <c r="D302" s="38"/>
      <c r="E302" s="38"/>
      <c r="F302" s="38"/>
      <c r="G302" s="38"/>
      <c r="H302" s="38"/>
      <c r="I302" s="38"/>
      <c r="J302" s="70"/>
      <c r="K302" s="38"/>
      <c r="L302" s="38"/>
      <c r="M302" s="38"/>
      <c r="N302" s="38"/>
      <c r="O302" s="38"/>
      <c r="P302" s="38"/>
      <c r="Q302" s="38"/>
      <c r="R302" s="38"/>
      <c r="S302" s="38"/>
      <c r="X302" s="68"/>
    </row>
  </sheetData>
  <mergeCells count="6">
    <mergeCell ref="AJ2:AJ3"/>
    <mergeCell ref="AK2:AK3"/>
    <mergeCell ref="B1:T1"/>
    <mergeCell ref="Y1:Z1"/>
    <mergeCell ref="U1:W1"/>
    <mergeCell ref="AB1:AH1"/>
  </mergeCells>
  <phoneticPr fontId="10" type="noConversion"/>
  <conditionalFormatting sqref="I293:J293 I280:I292 I302:J1048576 I294:I301 I3:J279">
    <cfRule type="duplicateValues" dxfId="2" priority="309"/>
  </conditionalFormatting>
  <conditionalFormatting sqref="J294:J301">
    <cfRule type="duplicateValues" dxfId="1" priority="1"/>
  </conditionalFormatting>
  <conditionalFormatting sqref="S178">
    <cfRule type="duplicateValues" dxfId="0" priority="11"/>
  </conditionalFormatting>
  <pageMargins left="0.23622047244094491" right="0.23622047244094491" top="0.74803149606299213" bottom="0.74803149606299213" header="0.31496062992125984" footer="0.31496062992125984"/>
  <pageSetup paperSize="8" scale="53" fitToHeight="2" orientation="landscape" r:id="rId1"/>
  <rowBreaks count="2" manualBreakCount="2">
    <brk id="114" max="16383" man="1"/>
    <brk id="183" max="16383" man="1"/>
  </row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C4C6E791244A46B67E37657B0DB6D5" ma:contentTypeVersion="16" ma:contentTypeDescription="Crée un document." ma:contentTypeScope="" ma:versionID="818d1900773263888dfa92ac86dd736d">
  <xsd:schema xmlns:xsd="http://www.w3.org/2001/XMLSchema" xmlns:xs="http://www.w3.org/2001/XMLSchema" xmlns:p="http://schemas.microsoft.com/office/2006/metadata/properties" xmlns:ns2="43b9b9a0-7648-46d1-b5c5-697ae3c604b6" xmlns:ns3="1509f9ff-ec30-423c-bfce-aa62bd263232" targetNamespace="http://schemas.microsoft.com/office/2006/metadata/properties" ma:root="true" ma:fieldsID="6453ff4a159213e1b8a5b867350fad45" ns2:_="" ns3:_="">
    <xsd:import namespace="43b9b9a0-7648-46d1-b5c5-697ae3c604b6"/>
    <xsd:import namespace="1509f9ff-ec30-423c-bfce-aa62bd2632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9b9a0-7648-46d1-b5c5-697ae3c604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a5aca6c7-5a65-4dbb-a651-956e2b2276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09f9ff-ec30-423c-bfce-aa62bd26323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3ae9c99-8a28-4618-ac06-f95edeb38f8e}" ma:internalName="TaxCatchAll" ma:showField="CatchAllData" ma:web="1509f9ff-ec30-423c-bfce-aa62bd2632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509f9ff-ec30-423c-bfce-aa62bd263232" xsi:nil="true"/>
    <lcf76f155ced4ddcb4097134ff3c332f xmlns="43b9b9a0-7648-46d1-b5c5-697ae3c604b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EDDAAA3-6D2F-4FF5-B742-F71D9620D7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9b9a0-7648-46d1-b5c5-697ae3c604b6"/>
    <ds:schemaRef ds:uri="1509f9ff-ec30-423c-bfce-aa62bd2632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3C32E8-B5D5-4D07-AEDA-41224A6096D6}">
  <ds:schemaRefs>
    <ds:schemaRef ds:uri="http://schemas.microsoft.com/office/2006/metadata/properties"/>
    <ds:schemaRef ds:uri="http://schemas.microsoft.com/office/infopath/2007/PartnerControls"/>
    <ds:schemaRef ds:uri="1509f9ff-ec30-423c-bfce-aa62bd263232"/>
    <ds:schemaRef ds:uri="43b9b9a0-7648-46d1-b5c5-697ae3c604b6"/>
  </ds:schemaRefs>
</ds:datastoreItem>
</file>

<file path=customXml/itemProps3.xml><?xml version="1.0" encoding="utf-8"?>
<ds:datastoreItem xmlns:ds="http://schemas.openxmlformats.org/officeDocument/2006/customXml" ds:itemID="{601DF933-E819-4E97-AB1F-7674B95C19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LUT</vt:lpstr>
      <vt:lpstr>LUT!Zone_d_impression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 DEMAEGDT</dc:creator>
  <cp:keywords/>
  <dc:description/>
  <cp:lastModifiedBy>Cedric RUCH</cp:lastModifiedBy>
  <cp:revision/>
  <cp:lastPrinted>2026-03-30T12:56:13Z</cp:lastPrinted>
  <dcterms:created xsi:type="dcterms:W3CDTF">2024-04-15T11:16:11Z</dcterms:created>
  <dcterms:modified xsi:type="dcterms:W3CDTF">2026-03-30T12:56:15Z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0x010100A3C4C6E791244A46B67E37657B0DB6D5</vt:lpwstr>
  </property>
  <property fmtid="{D5CDD505-2E9C-101B-9397-08002B2CF9AE}" pid="3" name="MediaServiceImageTags">
    <vt:lpwstr/>
  </property>
</Properties>
</file>